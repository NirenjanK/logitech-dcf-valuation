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istoricals" sheetId="1" state="visible" r:id="rId3"/>
    <sheet name="Assumptions" sheetId="2" state="visible" r:id="rId4"/>
    <sheet name="DCF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<sst xmlns="http://schemas.openxmlformats.org/spreadsheetml/2006/main" count="189" uniqueCount="172">
  <si>
    <t xml:space="preserve">Logitech – historical financials (USD thousands, years ended 31 March)</t>
  </si>
  <si>
    <t xml:space="preserve">Blue = typed in from Logitech's SEC results releases. Black = formula.</t>
  </si>
  <si>
    <t xml:space="preserve">USD thousands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</si>
  <si>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</si>
  <si>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</si>
  <si>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</si>
  <si>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</si>
  <si>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</si>
  <si>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INCOME STATEMENT</t>
  </si>
  <si>
    <t xml:space="preserve">Net sales</t>
  </si>
  <si>
    <t xml:space="preserve">Cost of goods sold</t>
  </si>
  <si>
    <t xml:space="preserve">Amortization of intangibles (in cost of sales)</t>
  </si>
  <si>
    <t xml:space="preserve">Gross profit (as reported)</t>
  </si>
  <si>
    <t xml:space="preserve">Marketing and selling</t>
  </si>
  <si>
    <t xml:space="preserve">Research and development</t>
  </si>
  <si>
    <t xml:space="preserve">General and administrative</t>
  </si>
  <si>
    <t xml:space="preserve">Amortization of intangibles &amp; acquisition-related costs</t>
  </si>
  <si>
    <t xml:space="preserve">Impairment of intangible assets</t>
  </si>
  <si>
    <t xml:space="preserve">Change in fair value of contingent consideration</t>
  </si>
  <si>
    <t xml:space="preserve">Restructuring charges, net</t>
  </si>
  <si>
    <t xml:space="preserve">Total operating expenses (as reported)</t>
  </si>
  <si>
    <t xml:space="preserve">Operating income (as reported)</t>
  </si>
  <si>
    <t xml:space="preserve">Interest income</t>
  </si>
  <si>
    <t xml:space="preserve">Other income (expense), net  [FY22 derived: not printed]</t>
  </si>
  <si>
    <t xml:space="preserve">Income before income taxes (as reported)</t>
  </si>
  <si>
    <t xml:space="preserve">Provision for income taxes</t>
  </si>
  <si>
    <t xml:space="preserve">Net income (as reported)</t>
  </si>
  <si>
    <t xml:space="preserve">Diluted EPS (USD)</t>
  </si>
  <si>
    <t xml:space="preserve">Diluted weighted average shares (thousands)</t>
  </si>
  <si>
    <t xml:space="preserve">BALANCE SHEET (31 March)</t>
  </si>
  <si>
    <t xml:space="preserve">Cash and cash equivalents</t>
  </si>
  <si>
    <t xml:space="preserve">Accounts receivable, net</t>
  </si>
  <si>
    <t xml:space="preserve">Inventories</t>
  </si>
  <si>
    <t xml:space="preserve">Other current assets</t>
  </si>
  <si>
    <t xml:space="preserve">Total current assets (as reported)</t>
  </si>
  <si>
    <t xml:space="preserve">Property, plant and equipment, net</t>
  </si>
  <si>
    <t xml:space="preserve">Goodwill</t>
  </si>
  <si>
    <t xml:space="preserve">Other intangible assets, net</t>
  </si>
  <si>
    <t xml:space="preserve">Other assets</t>
  </si>
  <si>
    <t xml:space="preserve">Total assets (as reported)</t>
  </si>
  <si>
    <t xml:space="preserve">Accounts payable</t>
  </si>
  <si>
    <t xml:space="preserve">Accrued and other current liabilities</t>
  </si>
  <si>
    <t xml:space="preserve">Total current liabilities (as reported)</t>
  </si>
  <si>
    <t xml:space="preserve">Income taxes payable (non-current)</t>
  </si>
  <si>
    <t xml:space="preserve">Other non-current liabilities</t>
  </si>
  <si>
    <t xml:space="preserve">Total liabilities (as reported)</t>
  </si>
  <si>
    <t xml:space="preserve">Total shareholders' equity (as reported)</t>
  </si>
  <si>
    <t xml:space="preserve">Total liabilities and shareholders' equity (as reported)</t>
  </si>
  <si>
    <t xml:space="preserve">Issued shares (thousands)</t>
  </si>
  <si>
    <t xml:space="preserve">Treasury shares (thousands)</t>
  </si>
  <si>
    <t xml:space="preserve">CASH FLOW STATEMENT</t>
  </si>
  <si>
    <t xml:space="preserve">Net income</t>
  </si>
  <si>
    <t xml:space="preserve">Depreciation</t>
  </si>
  <si>
    <t xml:space="preserve">Amortization of intangible assets</t>
  </si>
  <si>
    <t xml:space="preserve">Share-based compensation expense</t>
  </si>
  <si>
    <t xml:space="preserve">Net cash provided by operating activities</t>
  </si>
  <si>
    <t xml:space="preserve">Purchases of property, plant and equipment</t>
  </si>
  <si>
    <t xml:space="preserve">Share repurchases</t>
  </si>
  <si>
    <t xml:space="preserve">Dividends paid</t>
  </si>
  <si>
    <t xml:space="preserve">NET SALES BY PRODUCT CATEGORY</t>
  </si>
  <si>
    <t xml:space="preserve">Gaming (incl. Streamlabs)</t>
  </si>
  <si>
    <t xml:space="preserve">Keyboards &amp; Combos</t>
  </si>
  <si>
    <t xml:space="preserve">Pointing Devices</t>
  </si>
  <si>
    <t xml:space="preserve">Video Collaboration</t>
  </si>
  <si>
    <t xml:space="preserve">Webcams</t>
  </si>
  <si>
    <t xml:space="preserve">Tablet Accessories</t>
  </si>
  <si>
    <t xml:space="preserve">Headsets</t>
  </si>
  <si>
    <t xml:space="preserve">Other (mainly mobile and PC speakers)</t>
  </si>
  <si>
    <t xml:space="preserve">Sources: Logitech Form 8-K Exhibit 99.1 – Q4 &amp; full fiscal year results: FY2026 (sec.gov/Archives/edgar/data/0001032975/000103297526000014/exhibit991q4fy26.htm),</t>
  </si>
  <si>
    <t xml:space="preserve">FY2024 (…/000103297524000015/exhibit991q4fy24.htm) for FY2024/FY2023, FY2022 (…/000103297522000008/exhibit991q4fy22ng.htm) for FY2022.</t>
  </si>
  <si>
    <t xml:space="preserve">Preliminary full-year results releases; audited Form 10-K figures may differ marginally. FY2023 category data reflect the company's later reclassification.</t>
  </si>
  <si>
    <t xml:space="preserve">Category sales shown for FY2023–FY2026 only (FY2022 categories not on the same basis).</t>
  </si>
  <si>
    <t xml:space="preserve">Check: assets − liabilities − equity (should be 0)</t>
  </si>
  <si>
    <t xml:space="preserve">Check: category sales − net sales (should be 0)</t>
  </si>
  <si>
    <t xml:space="preserve">Sources: Logitech Form 8-K Ex. 99.1 full-year results (FY2026, FY2024, FY2022). Preliminary figures; category data FY2023 onwards only.</t>
  </si>
  <si>
    <t xml:space="preserve">Assumptions (blue cells are the ones you can change)</t>
  </si>
  <si>
    <t xml:space="preserve">MARKET DATA</t>
  </si>
  <si>
    <t xml:space="preserve">Share price (USD), 16 Oct 2026</t>
  </si>
  <si>
    <t xml:space="preserve">Shares outstanding (millions)</t>
  </si>
  <si>
    <t xml:space="preserve">Cash (USD m), 31 Mar 2026</t>
  </si>
  <si>
    <t xml:space="preserve">Debt (USD m)</t>
  </si>
  <si>
    <t xml:space="preserve">Logitech has no borrowings on its balance sheet</t>
  </si>
  <si>
    <t xml:space="preserve">REQUIRED RETURN (CAPM)</t>
  </si>
  <si>
    <t xml:space="preserve">Risk-free rate (US 10-yr Treasury yield)</t>
  </si>
  <si>
    <t xml:space="preserve">Beta (adjusted)</t>
  </si>
  <si>
    <t xml:space="preserve">Raw beta 0.59, pulled towards 1 (Blume)</t>
  </si>
  <si>
    <t xml:space="preserve">Equity risk premium</t>
  </si>
  <si>
    <t xml:space="preserve">Cost of equity = risk-free + beta × premium</t>
  </si>
  <si>
    <t xml:space="preserve">WACC (discount rate)</t>
  </si>
  <si>
    <t xml:space="preserve">No debt, so WACC = cost of equity</t>
  </si>
  <si>
    <t xml:space="preserve">TERMINAL VALUE</t>
  </si>
  <si>
    <t xml:space="preserve">Perpetuity growth rate</t>
  </si>
  <si>
    <t xml:space="preserve">Exit EV/EBITDA multiple</t>
  </si>
  <si>
    <t xml:space="preserve">FORECAST DRIVERS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</si>
  <si>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</si>
  <si>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</si>
  <si>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</si>
  <si>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</si>
  <si>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</si>
  <si>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Gaming – sales growth</t>
  </si>
  <si>
    <t xml:space="preserve">Keyboards &amp; Combos – sales growth</t>
  </si>
  <si>
    <t xml:space="preserve">Pointing Devices – sales growth</t>
  </si>
  <si>
    <t xml:space="preserve">Video Collaboration – sales growth</t>
  </si>
  <si>
    <t xml:space="preserve">Webcams – sales growth</t>
  </si>
  <si>
    <t xml:space="preserve">Tablet Accessories – sales growth</t>
  </si>
  <si>
    <t xml:space="preserve">Headsets – sales growth</t>
  </si>
  <si>
    <t xml:space="preserve">Other – sales growth</t>
  </si>
  <si>
    <t xml:space="preserve">Gross margin</t>
  </si>
  <si>
    <t xml:space="preserve">Marketing &amp; selling, % of sales</t>
  </si>
  <si>
    <t xml:space="preserve">R&amp;D, % of sales</t>
  </si>
  <si>
    <t xml:space="preserve">G&amp;A, % of sales</t>
  </si>
  <si>
    <t xml:space="preserve">Tax rate on operating profit</t>
  </si>
  <si>
    <t xml:space="preserve">Depreciation, % of sales</t>
  </si>
  <si>
    <t xml:space="preserve">Capex, % of sales</t>
  </si>
  <si>
    <t xml:space="preserve">Cash tied up in working capital, % of extra sales</t>
  </si>
  <si>
    <t xml:space="preserve">Basis: category growth tapers towards 3%; gross margin held near FY2026's 43.2%; costs near FY2026 ratios; tax slightly above FY2026's 14%; capex ≈ depreciation.</t>
  </si>
  <si>
    <t xml:space="preserve">Logitech – DCF valuation (USD millions)</t>
  </si>
  <si>
    <t xml:space="preserve">Valuation as at 31 March 2026 (FY2026 year-end balance sheet). Cash flows are discounted as arriving at the end of each year.</t>
  </si>
  <si>
    <t xml:space="preserve">USD m</t>
  </si>
  <si>
    <t xml:space="preserve">FY2022A</t>
  </si>
  <si>
    <t xml:space="preserve">FY2023A</t>
  </si>
  <si>
    <t xml:space="preserve">FY2024A</t>
  </si>
  <si>
    <t xml:space="preserve">FY2025A</t>
  </si>
  <si>
    <t xml:space="preserve">FY2026A</t>
  </si>
  <si>
    <t xml:space="preserve">NET SALES BY PRODUCT</t>
  </si>
  <si>
    <t xml:space="preserve">Gaming</t>
  </si>
  <si>
    <t xml:space="preserve">Other</t>
  </si>
  <si>
    <t xml:space="preserve">Total net sales</t>
  </si>
  <si>
    <t xml:space="preserve">  growth</t>
  </si>
  <si>
    <t xml:space="preserve">Gross profit</t>
  </si>
  <si>
    <t xml:space="preserve">  gross margin</t>
  </si>
  <si>
    <t xml:space="preserve">Marketing &amp; selling</t>
  </si>
  <si>
    <t xml:space="preserve">Research &amp; development</t>
  </si>
  <si>
    <t xml:space="preserve">General &amp; administrative</t>
  </si>
  <si>
    <t xml:space="preserve">Operating profit (EBIT)</t>
  </si>
  <si>
    <t xml:space="preserve">  EBIT margin</t>
  </si>
  <si>
    <t xml:space="preserve">  (historical EBIT is as reported, so it also includes small amortization, restructuring and impairment items)</t>
  </si>
  <si>
    <t xml:space="preserve">FREE CASH FLOW</t>
  </si>
  <si>
    <t xml:space="preserve">EBIT</t>
  </si>
  <si>
    <t xml:space="preserve">Less: tax on EBIT</t>
  </si>
  <si>
    <t xml:space="preserve">Plus: depreciation</t>
  </si>
  <si>
    <t xml:space="preserve">Less: capital expenditure</t>
  </si>
  <si>
    <t xml:space="preserve">Less: cash tied up in working capital</t>
  </si>
  <si>
    <t xml:space="preserve">Free cash flow (FCF)</t>
  </si>
  <si>
    <t xml:space="preserve">Memo: Logitech's reported free cash flow (operating cash flow − capex)</t>
  </si>
  <si>
    <t xml:space="preserve">Year number</t>
  </si>
  <si>
    <t xml:space="preserve">Discount factor = 1 / (1 + WACC)^year</t>
  </si>
  <si>
    <t xml:space="preserve">Present value of FCF</t>
  </si>
  <si>
    <t xml:space="preserve">VALUATION – PERPETUITY GROWTH METHOD</t>
  </si>
  <si>
    <t xml:space="preserve">Sum of present value of FCF (FY2027–FY2031)</t>
  </si>
  <si>
    <t xml:space="preserve">Terminal value at end of FY2031 = FCF × (1+g) ÷ (WACC − g)</t>
  </si>
  <si>
    <t xml:space="preserve">Present value of terminal value</t>
  </si>
  <si>
    <t xml:space="preserve">Enterprise value</t>
  </si>
  <si>
    <t xml:space="preserve">Plus: cash</t>
  </si>
  <si>
    <t xml:space="preserve">Less: debt</t>
  </si>
  <si>
    <t xml:space="preserve">Equity value</t>
  </si>
  <si>
    <t xml:space="preserve">Value per share (USD)</t>
  </si>
  <si>
    <t xml:space="preserve">Share price today (USD)</t>
  </si>
  <si>
    <t xml:space="preserve">Difference vs share price</t>
  </si>
  <si>
    <t xml:space="preserve">Terminal value as % of enterprise value</t>
  </si>
  <si>
    <t xml:space="preserve">CROSS-CHECK – EXIT MULTIPLE METHOD</t>
  </si>
  <si>
    <t xml:space="preserve">FY2031E EBITDA (EBIT + depreciation)</t>
  </si>
  <si>
    <t xml:space="preserve">Terminal value = EBITDA × exit multiple</t>
  </si>
  <si>
    <t xml:space="preserve">CONCLUSION</t>
  </si>
  <si>
    <t xml:space="preserve">On the base-case assumptions (sales growth tapering from about 5% to 3%, EBIT margin of about 17%), Logitech looks roughly fairly valued.</t>
  </si>
  <si>
    <t xml:space="preserve">A gap of a few per cent is within the uncertainty of the assumptions, so this supports 'about fairly valued', not a buy or sell call.</t>
  </si>
  <si>
    <t xml:space="preserve">Sensitivity – value per share (USD)</t>
  </si>
  <si>
    <t xml:space="preserve">Each cell recalculates the whole valuation with a different WACC and growth rate (or exit multiple). Centre cell = base case.</t>
  </si>
  <si>
    <t xml:space="preserve">Perpetuity growth method: WACC (down) vs growth rate (across)</t>
  </si>
  <si>
    <t xml:space="preserve">WACC / growth</t>
  </si>
  <si>
    <t xml:space="preserve">Exit multiple method: WACC (down) vs EV/EBITDA multiple (across)</t>
  </si>
  <si>
    <t xml:space="preserve">WACC / multiple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</si>
</sst>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"/>
    <numFmt numFmtId="166" formatCode="0.00"/>
    <numFmt numFmtId="167" formatCode="\$#,##0.00"/>
    <numFmt numFmtId="168" formatCode="0.0"/>
    <numFmt numFmtId="169" formatCode="#,##0.0;\(#,##0.0\)"/>
    <numFmt numFmtId="170" formatCode="0.0%"/>
    <numFmt numFmtId="171" formatCode="0.0\x"/>
    <numFmt numFmtId="172" formatCode="0"/>
    <numFmt numFmtId="173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6" customFormat="false" ht="15" hidden="false" customHeight="false" outlineLevel="0" collapsed="false">
      <c r="A6" s="4" t="s">
        <v>8</v>
      </c>
    </row>
    <row r="7" customFormat="false" ht="15" hidden="false" customHeight="false" outlineLevel="0" collapsed="false">
      <c r="A7" s="5" t="s">
        <v>9</v>
      </c>
      <c r="B7" s="6" t="n">
        <v>5481101</v>
      </c>
      <c r="C7" s="6" t="n">
        <v>4538818</v>
      </c>
      <c r="D7" s="6" t="n">
        <v>4298467</v>
      </c>
      <c r="E7" s="6" t="n">
        <v>4554900</v>
      </c>
      <c r="F7" s="6" t="n">
        <v>4840761</v>
      </c>
    </row>
    <row r="8" customFormat="false" ht="15" hidden="false" customHeight="false" outlineLevel="0" collapsed="false">
      <c r="A8" s="5" t="s">
        <v>10</v>
      </c>
      <c r="B8" s="6" t="n">
        <v>3204072</v>
      </c>
      <c r="C8" s="6" t="n">
        <v>2806438</v>
      </c>
      <c r="D8" s="6" t="n">
        <v>2509418</v>
      </c>
      <c r="E8" s="6" t="n">
        <v>2582745</v>
      </c>
      <c r="F8" s="6" t="n">
        <v>2742407</v>
      </c>
    </row>
    <row r="9" customFormat="false" ht="15" hidden="false" customHeight="false" outlineLevel="0" collapsed="false">
      <c r="A9" s="5" t="s">
        <v>11</v>
      </c>
      <c r="B9" s="6" t="n">
        <v>14023</v>
      </c>
      <c r="C9" s="6" t="n">
        <v>12865</v>
      </c>
      <c r="D9" s="6" t="n">
        <v>11028</v>
      </c>
      <c r="E9" s="6" t="n">
        <v>9554</v>
      </c>
      <c r="F9" s="6" t="n">
        <v>7017</v>
      </c>
    </row>
    <row r="10" customFormat="false" ht="15" hidden="false" customHeight="false" outlineLevel="0" collapsed="false">
      <c r="A10" s="4" t="s">
        <v>12</v>
      </c>
      <c r="B10" s="6" t="n">
        <v>2263006</v>
      </c>
      <c r="C10" s="6" t="n">
        <v>1719515</v>
      </c>
      <c r="D10" s="6" t="n">
        <v>1778021</v>
      </c>
      <c r="E10" s="6" t="n">
        <v>1962601</v>
      </c>
      <c r="F10" s="6" t="n">
        <v>2091337</v>
      </c>
    </row>
    <row r="11" customFormat="false" ht="15" hidden="false" customHeight="false" outlineLevel="0" collapsed="false">
      <c r="A11" s="5" t="s">
        <v>13</v>
      </c>
      <c r="B11" s="6" t="n">
        <v>1025899</v>
      </c>
      <c r="C11" s="6" t="n">
        <v>809182</v>
      </c>
      <c r="D11" s="6" t="n">
        <v>730310</v>
      </c>
      <c r="E11" s="6" t="n">
        <v>814414</v>
      </c>
      <c r="F11" s="6" t="n">
        <v>816604</v>
      </c>
    </row>
    <row r="12" customFormat="false" ht="15" hidden="false" customHeight="false" outlineLevel="0" collapsed="false">
      <c r="A12" s="5" t="s">
        <v>14</v>
      </c>
      <c r="B12" s="6" t="n">
        <v>291844</v>
      </c>
      <c r="C12" s="6" t="n">
        <v>280796</v>
      </c>
      <c r="D12" s="6" t="n">
        <v>287243</v>
      </c>
      <c r="E12" s="6" t="n">
        <v>309008</v>
      </c>
      <c r="F12" s="6" t="n">
        <v>316221</v>
      </c>
    </row>
    <row r="13" customFormat="false" ht="15" hidden="false" customHeight="false" outlineLevel="0" collapsed="false">
      <c r="A13" s="5" t="s">
        <v>15</v>
      </c>
      <c r="B13" s="6" t="n">
        <v>148648</v>
      </c>
      <c r="C13" s="6" t="n">
        <v>124652</v>
      </c>
      <c r="D13" s="6" t="n">
        <v>155056</v>
      </c>
      <c r="E13" s="6" t="n">
        <v>164014</v>
      </c>
      <c r="F13" s="6" t="n">
        <v>167160</v>
      </c>
    </row>
    <row r="14" customFormat="false" ht="15" hidden="false" customHeight="false" outlineLevel="0" collapsed="false">
      <c r="A14" s="5" t="s">
        <v>16</v>
      </c>
      <c r="B14" s="6" t="n">
        <v>16947</v>
      </c>
      <c r="C14" s="6" t="n">
        <v>11843</v>
      </c>
      <c r="D14" s="6" t="n">
        <v>10934</v>
      </c>
      <c r="E14" s="6" t="n">
        <v>10695</v>
      </c>
      <c r="F14" s="6" t="n">
        <v>6298</v>
      </c>
    </row>
    <row r="15" customFormat="false" ht="15" hidden="false" customHeight="false" outlineLevel="0" collapsed="false">
      <c r="A15" s="5" t="s">
        <v>17</v>
      </c>
      <c r="B15" s="6" t="n">
        <v>7000</v>
      </c>
      <c r="C15" s="6" t="n">
        <v>0</v>
      </c>
      <c r="D15" s="6" t="n">
        <v>3526</v>
      </c>
      <c r="E15" s="6" t="n">
        <v>0</v>
      </c>
      <c r="F15" s="6" t="n">
        <v>0</v>
      </c>
    </row>
    <row r="16" customFormat="false" ht="15" hidden="false" customHeight="false" outlineLevel="0" collapsed="false">
      <c r="A16" s="5" t="s">
        <v>18</v>
      </c>
      <c r="B16" s="6" t="n">
        <v>-3509</v>
      </c>
      <c r="C16" s="6" t="n">
        <v>0</v>
      </c>
      <c r="D16" s="6" t="n">
        <v>-250</v>
      </c>
      <c r="E16" s="6" t="n">
        <v>0</v>
      </c>
      <c r="F16" s="6" t="n">
        <v>0</v>
      </c>
    </row>
    <row r="17" customFormat="false" ht="15" hidden="false" customHeight="false" outlineLevel="0" collapsed="false">
      <c r="A17" s="5" t="s">
        <v>19</v>
      </c>
      <c r="B17" s="6" t="n">
        <v>2165</v>
      </c>
      <c r="C17" s="6" t="n">
        <v>34573</v>
      </c>
      <c r="D17" s="6" t="n">
        <v>3866</v>
      </c>
      <c r="E17" s="6" t="n">
        <v>9615</v>
      </c>
      <c r="F17" s="6" t="n">
        <v>9860</v>
      </c>
    </row>
    <row r="18" customFormat="false" ht="15" hidden="false" customHeight="false" outlineLevel="0" collapsed="false">
      <c r="A18" s="4" t="s">
        <v>20</v>
      </c>
      <c r="B18" s="6" t="n">
        <v>1488994</v>
      </c>
      <c r="C18" s="6" t="n">
        <v>1261046</v>
      </c>
      <c r="D18" s="6" t="n">
        <v>1190685</v>
      </c>
      <c r="E18" s="6" t="n">
        <v>1307746</v>
      </c>
      <c r="F18" s="6" t="n">
        <v>1316143</v>
      </c>
    </row>
    <row r="19" customFormat="false" ht="15" hidden="false" customHeight="false" outlineLevel="0" collapsed="false">
      <c r="A19" s="4" t="s">
        <v>21</v>
      </c>
      <c r="B19" s="6" t="n">
        <v>774012</v>
      </c>
      <c r="C19" s="6" t="n">
        <v>458469</v>
      </c>
      <c r="D19" s="6" t="n">
        <v>587336</v>
      </c>
      <c r="E19" s="6" t="n">
        <v>654855</v>
      </c>
      <c r="F19" s="6" t="n">
        <v>775194</v>
      </c>
    </row>
    <row r="20" customFormat="false" ht="15" hidden="false" customHeight="false" outlineLevel="0" collapsed="false">
      <c r="A20" s="5" t="s">
        <v>22</v>
      </c>
      <c r="B20" s="6" t="n">
        <v>1246</v>
      </c>
      <c r="C20" s="6" t="n">
        <v>18331</v>
      </c>
      <c r="D20" s="6" t="n">
        <v>50636</v>
      </c>
      <c r="E20" s="6" t="n">
        <v>54997</v>
      </c>
      <c r="F20" s="6" t="n">
        <v>48246</v>
      </c>
    </row>
    <row r="21" customFormat="false" ht="15" hidden="false" customHeight="false" outlineLevel="0" collapsed="false">
      <c r="A21" s="5" t="s">
        <v>23</v>
      </c>
      <c r="B21" s="6" t="n">
        <v>560</v>
      </c>
      <c r="C21" s="6" t="n">
        <v>-13278</v>
      </c>
      <c r="D21" s="6" t="n">
        <v>-16376</v>
      </c>
      <c r="E21" s="6" t="n">
        <v>-2980</v>
      </c>
      <c r="F21" s="6" t="n">
        <v>3079</v>
      </c>
    </row>
    <row r="22" customFormat="false" ht="15" hidden="false" customHeight="false" outlineLevel="0" collapsed="false">
      <c r="A22" s="4" t="s">
        <v>24</v>
      </c>
      <c r="B22" s="6" t="n">
        <v>775818</v>
      </c>
      <c r="C22" s="6" t="n">
        <v>463522</v>
      </c>
      <c r="D22" s="6" t="n">
        <v>621596</v>
      </c>
      <c r="E22" s="6" t="n">
        <v>706872</v>
      </c>
      <c r="F22" s="6" t="n">
        <v>826519</v>
      </c>
    </row>
    <row r="23" customFormat="false" ht="15" hidden="false" customHeight="false" outlineLevel="0" collapsed="false">
      <c r="A23" s="5" t="s">
        <v>25</v>
      </c>
      <c r="B23" s="6" t="n">
        <v>131305</v>
      </c>
      <c r="C23" s="6" t="n">
        <v>98947</v>
      </c>
      <c r="D23" s="6" t="n">
        <v>9453</v>
      </c>
      <c r="E23" s="6" t="n">
        <v>75343</v>
      </c>
      <c r="F23" s="6" t="n">
        <v>115332</v>
      </c>
    </row>
    <row r="24" customFormat="false" ht="15" hidden="false" customHeight="false" outlineLevel="0" collapsed="false">
      <c r="A24" s="4" t="s">
        <v>26</v>
      </c>
      <c r="B24" s="6" t="n">
        <v>644513</v>
      </c>
      <c r="C24" s="6" t="n">
        <v>364575</v>
      </c>
      <c r="D24" s="6" t="n">
        <v>612143</v>
      </c>
      <c r="E24" s="6" t="n">
        <v>631529</v>
      </c>
      <c r="F24" s="6" t="n">
        <v>711187</v>
      </c>
    </row>
    <row r="25" customFormat="false" ht="15" hidden="false" customHeight="false" outlineLevel="0" collapsed="false">
      <c r="A25" s="5" t="s">
        <v>27</v>
      </c>
      <c r="B25" s="7" t="n">
        <v>3.78</v>
      </c>
      <c r="C25" s="7" t="n">
        <v>2.23</v>
      </c>
      <c r="D25" s="7" t="n">
        <v>3.87</v>
      </c>
      <c r="E25" s="7" t="n">
        <v>4.13</v>
      </c>
      <c r="F25" s="7" t="n">
        <v>4.8</v>
      </c>
    </row>
    <row r="26" customFormat="false" ht="15" hidden="false" customHeight="false" outlineLevel="0" collapsed="false">
      <c r="A26" s="5" t="s">
        <v>28</v>
      </c>
      <c r="B26" s="6" t="n">
        <v>170414</v>
      </c>
      <c r="C26" s="6" t="n">
        <v>163704</v>
      </c>
      <c r="D26" s="6" t="n">
        <v>158171</v>
      </c>
      <c r="E26" s="6" t="n">
        <v>152784</v>
      </c>
      <c r="F26" s="6" t="n">
        <v>148208</v>
      </c>
    </row>
    <row r="28" customFormat="false" ht="15" hidden="false" customHeight="false" outlineLevel="0" collapsed="false">
      <c r="A28" s="5" t="s">
        <v>29</v>
      </c>
    </row>
    <row r="29" customFormat="false" ht="15" hidden="false" customHeight="false" outlineLevel="0" collapsed="false">
      <c r="A29" s="5" t="s">
        <v>30</v>
      </c>
      <c r="B29" s="6" t="n">
        <v>1328716</v>
      </c>
      <c r="C29" s="6" t="n">
        <v>1149023</v>
      </c>
      <c r="D29" s="6" t="n">
        <v>1520842</v>
      </c>
      <c r="E29" s="6" t="n">
        <v>1503205</v>
      </c>
      <c r="F29" s="6" t="n">
        <v>1741546</v>
      </c>
    </row>
    <row r="30" customFormat="false" ht="15" hidden="false" customHeight="false" outlineLevel="0" collapsed="false">
      <c r="A30" s="5" t="s">
        <v>31</v>
      </c>
      <c r="B30" s="6" t="n">
        <v>675604</v>
      </c>
      <c r="C30" s="6" t="n">
        <v>630382</v>
      </c>
      <c r="D30" s="6" t="n">
        <v>541715</v>
      </c>
      <c r="E30" s="6" t="n">
        <v>454546</v>
      </c>
      <c r="F30" s="6" t="n">
        <v>505867</v>
      </c>
    </row>
    <row r="31" customFormat="false" ht="15" hidden="false" customHeight="false" outlineLevel="0" collapsed="false">
      <c r="A31" s="5" t="s">
        <v>32</v>
      </c>
      <c r="B31" s="6" t="n">
        <v>933124</v>
      </c>
      <c r="C31" s="6" t="n">
        <v>682893</v>
      </c>
      <c r="D31" s="6" t="n">
        <v>422513</v>
      </c>
      <c r="E31" s="6" t="n">
        <v>503747</v>
      </c>
      <c r="F31" s="6" t="n">
        <v>489948</v>
      </c>
    </row>
    <row r="32" customFormat="false" ht="15" hidden="false" customHeight="false" outlineLevel="0" collapsed="false">
      <c r="A32" s="5" t="s">
        <v>33</v>
      </c>
      <c r="B32" s="6" t="n">
        <v>135478</v>
      </c>
      <c r="C32" s="6" t="n">
        <v>142876</v>
      </c>
      <c r="D32" s="6" t="n">
        <v>146270</v>
      </c>
      <c r="E32" s="6" t="n">
        <v>131211</v>
      </c>
      <c r="F32" s="6" t="n">
        <v>177895</v>
      </c>
    </row>
    <row r="33" customFormat="false" ht="15" hidden="false" customHeight="false" outlineLevel="0" collapsed="false">
      <c r="A33" s="4" t="s">
        <v>34</v>
      </c>
      <c r="B33" s="6" t="n">
        <v>3072922</v>
      </c>
      <c r="C33" s="6" t="n">
        <v>2605174</v>
      </c>
      <c r="D33" s="6" t="n">
        <v>2631340</v>
      </c>
      <c r="E33" s="6" t="n">
        <v>2592709</v>
      </c>
      <c r="F33" s="6" t="n">
        <v>2915256</v>
      </c>
    </row>
    <row r="34" customFormat="false" ht="15" hidden="false" customHeight="false" outlineLevel="0" collapsed="false">
      <c r="A34" s="5" t="s">
        <v>35</v>
      </c>
      <c r="B34" s="6" t="n">
        <v>109807</v>
      </c>
      <c r="C34" s="6" t="n">
        <v>121503</v>
      </c>
      <c r="D34" s="6" t="n">
        <v>116589</v>
      </c>
      <c r="E34" s="6" t="n">
        <v>113858</v>
      </c>
      <c r="F34" s="6" t="n">
        <v>116454</v>
      </c>
    </row>
    <row r="35" customFormat="false" ht="15" hidden="false" customHeight="false" outlineLevel="0" collapsed="false">
      <c r="A35" s="5" t="s">
        <v>36</v>
      </c>
      <c r="B35" s="6" t="n">
        <v>448175</v>
      </c>
      <c r="C35" s="6" t="n">
        <v>454610</v>
      </c>
      <c r="D35" s="6" t="n">
        <v>461978</v>
      </c>
      <c r="E35" s="6" t="n">
        <v>463230</v>
      </c>
      <c r="F35" s="6" t="n">
        <v>465417</v>
      </c>
    </row>
    <row r="36" customFormat="false" ht="15" hidden="false" customHeight="false" outlineLevel="0" collapsed="false">
      <c r="A36" s="5" t="s">
        <v>37</v>
      </c>
      <c r="B36" s="6" t="n">
        <v>83779</v>
      </c>
      <c r="C36" s="6" t="n">
        <v>63173</v>
      </c>
      <c r="D36" s="6" t="n">
        <v>44603</v>
      </c>
      <c r="E36" s="6" t="n">
        <v>24630</v>
      </c>
      <c r="F36" s="6" t="n">
        <v>12386</v>
      </c>
    </row>
    <row r="37" customFormat="false" ht="15" hidden="false" customHeight="false" outlineLevel="0" collapsed="false">
      <c r="A37" s="5" t="s">
        <v>38</v>
      </c>
      <c r="B37" s="6" t="n">
        <v>320722</v>
      </c>
      <c r="C37" s="6" t="n">
        <v>316293</v>
      </c>
      <c r="D37" s="6" t="n">
        <v>350194</v>
      </c>
      <c r="E37" s="6" t="n">
        <v>344077</v>
      </c>
      <c r="F37" s="6" t="n">
        <v>339075</v>
      </c>
    </row>
    <row r="38" customFormat="false" ht="15" hidden="false" customHeight="false" outlineLevel="0" collapsed="false">
      <c r="A38" s="4" t="s">
        <v>39</v>
      </c>
      <c r="B38" s="6" t="n">
        <v>4035405</v>
      </c>
      <c r="C38" s="6" t="n">
        <v>3560753</v>
      </c>
      <c r="D38" s="6" t="n">
        <v>3604704</v>
      </c>
      <c r="E38" s="6" t="n">
        <v>3538504</v>
      </c>
      <c r="F38" s="6" t="n">
        <v>3848588</v>
      </c>
    </row>
    <row r="39" customFormat="false" ht="15" hidden="false" customHeight="false" outlineLevel="0" collapsed="false">
      <c r="A39" s="5" t="s">
        <v>40</v>
      </c>
      <c r="B39" s="6" t="n">
        <v>636306</v>
      </c>
      <c r="C39" s="6" t="n">
        <v>406968</v>
      </c>
      <c r="D39" s="6" t="n">
        <v>448627</v>
      </c>
      <c r="E39" s="6" t="n">
        <v>414586</v>
      </c>
      <c r="F39" s="6" t="n">
        <v>530983</v>
      </c>
    </row>
    <row r="40" customFormat="false" ht="15" hidden="false" customHeight="false" outlineLevel="0" collapsed="false">
      <c r="A40" s="5" t="s">
        <v>41</v>
      </c>
      <c r="B40" s="6" t="n">
        <v>784848</v>
      </c>
      <c r="C40" s="6" t="n">
        <v>643139</v>
      </c>
      <c r="D40" s="6" t="n">
        <v>637262</v>
      </c>
      <c r="E40" s="6" t="n">
        <v>686503</v>
      </c>
      <c r="F40" s="6" t="n">
        <v>781990</v>
      </c>
    </row>
    <row r="41" customFormat="false" ht="15" hidden="false" customHeight="false" outlineLevel="0" collapsed="false">
      <c r="A41" s="4" t="s">
        <v>42</v>
      </c>
      <c r="B41" s="6" t="n">
        <v>1421154</v>
      </c>
      <c r="C41" s="6" t="n">
        <v>1050107</v>
      </c>
      <c r="D41" s="6" t="n">
        <v>1085889</v>
      </c>
      <c r="E41" s="6" t="n">
        <v>1101089</v>
      </c>
      <c r="F41" s="6" t="n">
        <v>1312973</v>
      </c>
    </row>
    <row r="42" customFormat="false" ht="15" hidden="false" customHeight="false" outlineLevel="0" collapsed="false">
      <c r="A42" s="5" t="s">
        <v>43</v>
      </c>
      <c r="B42" s="6" t="n">
        <v>83380</v>
      </c>
      <c r="C42" s="6" t="n">
        <v>106391</v>
      </c>
      <c r="D42" s="6" t="n">
        <v>112572</v>
      </c>
      <c r="E42" s="6" t="n">
        <v>88483</v>
      </c>
      <c r="F42" s="6" t="n">
        <v>86322</v>
      </c>
    </row>
    <row r="43" customFormat="false" ht="15" hidden="false" customHeight="false" outlineLevel="0" collapsed="false">
      <c r="A43" s="5" t="s">
        <v>44</v>
      </c>
      <c r="B43" s="6" t="n">
        <v>132133</v>
      </c>
      <c r="C43" s="6" t="n">
        <v>146695</v>
      </c>
      <c r="D43" s="6" t="n">
        <v>172590</v>
      </c>
      <c r="E43" s="6" t="n">
        <v>221512</v>
      </c>
      <c r="F43" s="6" t="n">
        <v>237899</v>
      </c>
    </row>
    <row r="44" customFormat="false" ht="15" hidden="false" customHeight="false" outlineLevel="0" collapsed="false">
      <c r="A44" s="4" t="s">
        <v>45</v>
      </c>
      <c r="B44" s="6" t="n">
        <v>1636667</v>
      </c>
      <c r="C44" s="6" t="n">
        <v>1303193</v>
      </c>
      <c r="D44" s="6" t="n">
        <v>1371051</v>
      </c>
      <c r="E44" s="6" t="n">
        <v>1411084</v>
      </c>
      <c r="F44" s="6" t="n">
        <v>1637194</v>
      </c>
    </row>
    <row r="45" customFormat="false" ht="15" hidden="false" customHeight="false" outlineLevel="0" collapsed="false">
      <c r="A45" s="4" t="s">
        <v>46</v>
      </c>
      <c r="B45" s="6" t="n">
        <v>2398738</v>
      </c>
      <c r="C45" s="6" t="n">
        <v>2257560</v>
      </c>
      <c r="D45" s="6" t="n">
        <v>2233653</v>
      </c>
      <c r="E45" s="6" t="n">
        <v>2127420</v>
      </c>
      <c r="F45" s="6" t="n">
        <v>2211394</v>
      </c>
    </row>
    <row r="46" customFormat="false" ht="15" hidden="false" customHeight="false" outlineLevel="0" collapsed="false">
      <c r="A46" s="4" t="s">
        <v>47</v>
      </c>
      <c r="B46" s="6" t="n">
        <v>4035405</v>
      </c>
      <c r="C46" s="6" t="n">
        <v>3560753</v>
      </c>
      <c r="D46" s="6" t="n">
        <v>3604704</v>
      </c>
      <c r="E46" s="6" t="n">
        <v>3538504</v>
      </c>
      <c r="F46" s="6" t="n">
        <v>3848588</v>
      </c>
    </row>
    <row r="47" customFormat="false" ht="15" hidden="false" customHeight="false" outlineLevel="0" collapsed="false">
      <c r="A47" s="5" t="s">
        <v>48</v>
      </c>
      <c r="B47" s="6" t="n">
        <v>173106</v>
      </c>
      <c r="C47" s="6" t="n">
        <v>173106</v>
      </c>
      <c r="D47" s="6" t="n">
        <v>173106</v>
      </c>
      <c r="E47" s="6" t="n">
        <v>168994</v>
      </c>
      <c r="F47" s="6" t="n">
        <v>160784</v>
      </c>
    </row>
    <row r="48" customFormat="false" ht="15" hidden="false" customHeight="false" outlineLevel="0" collapsed="false">
      <c r="A48" s="5" t="s">
        <v>49</v>
      </c>
      <c r="B48" s="6" t="n">
        <v>7855</v>
      </c>
      <c r="C48" s="6" t="n">
        <v>13763</v>
      </c>
      <c r="D48" s="6" t="n">
        <v>19243</v>
      </c>
      <c r="E48" s="6" t="n">
        <v>20485</v>
      </c>
      <c r="F48" s="6" t="n">
        <v>17282</v>
      </c>
    </row>
    <row r="50" customFormat="false" ht="15" hidden="false" customHeight="false" outlineLevel="0" collapsed="false">
      <c r="A50" s="4" t="s">
        <v>50</v>
      </c>
    </row>
    <row r="51" customFormat="false" ht="15" hidden="false" customHeight="false" outlineLevel="0" collapsed="false">
      <c r="A51" s="5" t="s">
        <v>51</v>
      </c>
      <c r="B51" s="6" t="n">
        <v>644513</v>
      </c>
      <c r="C51" s="6" t="n">
        <v>364575</v>
      </c>
      <c r="D51" s="6" t="n">
        <v>612143</v>
      </c>
      <c r="E51" s="6" t="n">
        <v>631529</v>
      </c>
      <c r="F51" s="6" t="n">
        <v>711187</v>
      </c>
    </row>
    <row r="52" customFormat="false" ht="15" hidden="false" customHeight="false" outlineLevel="0" collapsed="false">
      <c r="A52" s="5" t="s">
        <v>52</v>
      </c>
      <c r="B52" s="6" t="n">
        <v>88361</v>
      </c>
      <c r="C52" s="6" t="n">
        <v>76309</v>
      </c>
      <c r="D52" s="6" t="n">
        <v>63065</v>
      </c>
      <c r="E52" s="6" t="n">
        <v>59664</v>
      </c>
      <c r="F52" s="6" t="n">
        <v>64139</v>
      </c>
    </row>
    <row r="53" customFormat="false" ht="15" hidden="false" customHeight="false" outlineLevel="0" collapsed="false">
      <c r="A53" s="5" t="s">
        <v>53</v>
      </c>
      <c r="B53" s="6" t="n">
        <v>30179</v>
      </c>
      <c r="C53" s="6" t="n">
        <v>24407</v>
      </c>
      <c r="D53" s="6" t="n">
        <v>21681</v>
      </c>
      <c r="E53" s="6" t="n">
        <v>20098</v>
      </c>
      <c r="F53" s="6" t="n">
        <v>13315</v>
      </c>
    </row>
    <row r="54" customFormat="false" ht="15" hidden="false" customHeight="false" outlineLevel="0" collapsed="false">
      <c r="A54" s="5" t="s">
        <v>54</v>
      </c>
      <c r="B54" s="6" t="n">
        <v>93479</v>
      </c>
      <c r="C54" s="6" t="n">
        <v>70782</v>
      </c>
      <c r="D54" s="6" t="n">
        <v>82889</v>
      </c>
      <c r="E54" s="6" t="n">
        <v>89913</v>
      </c>
      <c r="F54" s="6" t="n">
        <v>112392</v>
      </c>
    </row>
    <row r="55" customFormat="false" ht="15" hidden="false" customHeight="false" outlineLevel="0" collapsed="false">
      <c r="A55" s="5" t="s">
        <v>55</v>
      </c>
      <c r="B55" s="6" t="n">
        <v>298318</v>
      </c>
      <c r="C55" s="6" t="n">
        <v>534010</v>
      </c>
      <c r="D55" s="6" t="n">
        <v>1145116</v>
      </c>
      <c r="E55" s="6" t="n">
        <v>842557</v>
      </c>
      <c r="F55" s="6" t="n">
        <v>1037207</v>
      </c>
    </row>
    <row r="56" customFormat="false" ht="15" hidden="false" customHeight="false" outlineLevel="0" collapsed="false">
      <c r="A56" s="5" t="s">
        <v>56</v>
      </c>
      <c r="B56" s="6" t="n">
        <v>89152</v>
      </c>
      <c r="C56" s="6" t="n">
        <v>92353</v>
      </c>
      <c r="D56" s="6" t="n">
        <v>55897</v>
      </c>
      <c r="E56" s="6" t="n">
        <v>56128</v>
      </c>
      <c r="F56" s="6" t="n">
        <v>61562</v>
      </c>
    </row>
    <row r="57" customFormat="false" ht="15" hidden="false" customHeight="false" outlineLevel="0" collapsed="false">
      <c r="A57" s="5" t="s">
        <v>57</v>
      </c>
      <c r="B57" s="6" t="n">
        <v>412022</v>
      </c>
      <c r="C57" s="6" t="n">
        <v>418346</v>
      </c>
      <c r="D57" s="6" t="n">
        <v>504203</v>
      </c>
      <c r="E57" s="6" t="n">
        <v>588838</v>
      </c>
      <c r="F57" s="6" t="n">
        <v>534939</v>
      </c>
    </row>
    <row r="58" customFormat="false" ht="15" hidden="false" customHeight="false" outlineLevel="0" collapsed="false">
      <c r="A58" s="5" t="s">
        <v>58</v>
      </c>
      <c r="B58" s="6" t="n">
        <v>159410</v>
      </c>
      <c r="C58" s="6" t="n">
        <v>158680</v>
      </c>
      <c r="D58" s="6" t="n">
        <v>182305</v>
      </c>
      <c r="E58" s="6" t="n">
        <v>207853</v>
      </c>
      <c r="F58" s="6" t="n">
        <v>233059</v>
      </c>
    </row>
    <row r="60" customFormat="false" ht="15" hidden="false" customHeight="false" outlineLevel="0" collapsed="false">
      <c r="A60" s="4" t="s">
        <v>59</v>
      </c>
    </row>
    <row r="61" customFormat="false" ht="15" hidden="false" customHeight="false" outlineLevel="0" collapsed="false">
      <c r="A61" s="5" t="s">
        <v>60</v>
      </c>
      <c r="C61" s="6" t="n">
        <v>1288313</v>
      </c>
      <c r="D61" s="6" t="n">
        <v>1231063</v>
      </c>
      <c r="E61" s="6" t="n">
        <v>1338467</v>
      </c>
      <c r="F61" s="6" t="n">
        <v>1414206</v>
      </c>
    </row>
    <row r="62" customFormat="false" ht="15" hidden="false" customHeight="false" outlineLevel="0" collapsed="false">
      <c r="A62" s="5" t="s">
        <v>61</v>
      </c>
      <c r="C62" s="6" t="n">
        <v>836432</v>
      </c>
      <c r="D62" s="6" t="n">
        <v>821441</v>
      </c>
      <c r="E62" s="6" t="n">
        <v>882643</v>
      </c>
      <c r="F62" s="6" t="n">
        <v>937551</v>
      </c>
    </row>
    <row r="63" customFormat="false" ht="15" hidden="false" customHeight="false" outlineLevel="0" collapsed="false">
      <c r="A63" s="5" t="s">
        <v>62</v>
      </c>
      <c r="C63" s="6" t="n">
        <v>728357</v>
      </c>
      <c r="D63" s="6" t="n">
        <v>742987</v>
      </c>
      <c r="E63" s="6" t="n">
        <v>788784</v>
      </c>
      <c r="F63" s="6" t="n">
        <v>858904</v>
      </c>
    </row>
    <row r="64" customFormat="false" ht="15" hidden="false" customHeight="false" outlineLevel="0" collapsed="false">
      <c r="A64" s="5" t="s">
        <v>63</v>
      </c>
      <c r="C64" s="6" t="n">
        <v>677923</v>
      </c>
      <c r="D64" s="6" t="n">
        <v>609361</v>
      </c>
      <c r="E64" s="6" t="n">
        <v>626000</v>
      </c>
      <c r="F64" s="6" t="n">
        <v>689040</v>
      </c>
    </row>
    <row r="65" customFormat="false" ht="15" hidden="false" customHeight="false" outlineLevel="0" collapsed="false">
      <c r="A65" s="5" t="s">
        <v>64</v>
      </c>
      <c r="C65" s="6" t="n">
        <v>378688</v>
      </c>
      <c r="D65" s="6" t="n">
        <v>325225</v>
      </c>
      <c r="E65" s="6" t="n">
        <v>315520</v>
      </c>
      <c r="F65" s="6" t="n">
        <v>326172</v>
      </c>
    </row>
    <row r="66" customFormat="false" ht="15" hidden="false" customHeight="false" outlineLevel="0" collapsed="false">
      <c r="A66" s="5" t="s">
        <v>65</v>
      </c>
      <c r="C66" s="6" t="n">
        <v>254374</v>
      </c>
      <c r="D66" s="6" t="n">
        <v>254060</v>
      </c>
      <c r="E66" s="6" t="n">
        <v>299540</v>
      </c>
      <c r="F66" s="6" t="n">
        <v>336189</v>
      </c>
    </row>
    <row r="67" customFormat="false" ht="15" hidden="false" customHeight="false" outlineLevel="0" collapsed="false">
      <c r="A67" s="5" t="s">
        <v>66</v>
      </c>
      <c r="C67" s="6" t="n">
        <v>176576</v>
      </c>
      <c r="D67" s="6" t="n">
        <v>168478</v>
      </c>
      <c r="E67" s="6" t="n">
        <v>179710</v>
      </c>
      <c r="F67" s="6" t="n">
        <v>179825</v>
      </c>
    </row>
    <row r="68" customFormat="false" ht="15" hidden="false" customHeight="false" outlineLevel="0" collapsed="false">
      <c r="A68" s="5" t="s">
        <v>67</v>
      </c>
      <c r="C68" s="6" t="n">
        <v>198155</v>
      </c>
      <c r="D68" s="6" t="n">
        <v>145852</v>
      </c>
      <c r="E68" s="6" t="n">
        <v>124236</v>
      </c>
      <c r="F68" s="6" t="n">
        <v>98874</v>
      </c>
    </row>
    <row r="70" customFormat="false" ht="15" hidden="false" customHeight="false" outlineLevel="0" collapsed="false">
      <c r="A70" s="5" t="s">
        <v>68</v>
      </c>
    </row>
    <row r="71" customFormat="false" ht="15" hidden="false" customHeight="false" outlineLevel="0" collapsed="false">
      <c r="A71" s="5" t="s">
        <v>69</v>
      </c>
    </row>
    <row r="72" customFormat="false" ht="15" hidden="false" customHeight="false" outlineLevel="0" collapsed="false">
      <c r="A72" s="5" t="s">
        <v>70</v>
      </c>
    </row>
    <row r="73" customFormat="false" ht="15" hidden="false" customHeight="false" outlineLevel="0" collapsed="false">
      <c r="A73" s="5" t="s">
        <v>71</v>
      </c>
    </row>
    <row r="75" customFormat="false" ht="15" hidden="false" customHeight="false" outlineLevel="0" collapsed="false">
      <c r="A75" s="4" t="s">
        <v>72</v>
      </c>
      <c r="B75" s="8" t="n">
        <f aca="false">B38-B44-B45</f>
        <v>0</v>
      </c>
      <c r="C75" s="8" t="n">
        <f aca="false">C38-C44-C45</f>
        <v>0</v>
      </c>
      <c r="D75" s="8" t="n">
        <f aca="false">D38-D44-D45</f>
        <v>0</v>
      </c>
      <c r="E75" s="8" t="n">
        <f aca="false">E38-E44-E45</f>
        <v>0</v>
      </c>
      <c r="F75" s="8" t="n">
        <f aca="false">F38-F44-F45</f>
        <v>0</v>
      </c>
    </row>
    <row r="76" customFormat="false" ht="15" hidden="false" customHeight="false" outlineLevel="0" collapsed="false">
      <c r="A76" s="4" t="s">
        <v>73</v>
      </c>
      <c r="C76" s="8" t="n">
        <f aca="false">Historicals!C61+Historicals!C62+Historicals!C63+Historicals!C64+Historicals!C65+Historicals!C66+Historicals!C67+Historicals!C68-Historicals!C7</f>
        <v>0</v>
      </c>
      <c r="D76" s="8" t="n">
        <f aca="false">Historicals!D61+Historicals!D62+Historicals!D63+Historicals!D64+Historicals!D65+Historicals!D66+Historicals!D67+Historicals!D68-Historicals!D7</f>
        <v>0</v>
      </c>
      <c r="E76" s="8" t="n">
        <f aca="false">Historicals!E61+Historicals!E62+Historicals!E63+Historicals!E64+Historicals!E65+Historicals!E66+Historicals!E67+Historicals!E68-Historicals!E7</f>
        <v>0</v>
      </c>
      <c r="F76" s="8" t="n">
        <f aca="false">Historicals!F61+Historicals!F62+Historicals!F63+Historicals!F64+Historicals!F65+Historicals!F66+Historicals!F67+Historicals!F68-Historicals!F7</f>
        <v>0</v>
      </c>
    </row>
    <row r="78" customFormat="false" ht="15" hidden="false" customHeight="false" outlineLevel="0" collapsed="false">
      <c r="A78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75</v>
      </c>
    </row>
    <row r="3" customFormat="false" ht="15" hidden="false" customHeight="false" outlineLevel="0" collapsed="false">
      <c r="A3" s="4" t="s">
        <v>76</v>
      </c>
    </row>
    <row r="4" customFormat="false" ht="15" hidden="false" customHeight="false" outlineLevel="0" collapsed="false">
      <c r="A4" s="5" t="s">
        <v>77</v>
      </c>
      <c r="B4" s="9" t="n">
        <v>104.41</v>
      </c>
    </row>
    <row r="5" customFormat="false" ht="15" hidden="false" customHeight="false" outlineLevel="0" collapsed="false">
      <c r="A5" s="5" t="s">
        <v>78</v>
      </c>
      <c r="B5" s="10" t="n">
        <f aca="false">(Historicals!F47-Historicals!F48)/1000</f>
        <v>143.502</v>
      </c>
    </row>
    <row r="6" customFormat="false" ht="15" hidden="false" customHeight="false" outlineLevel="0" collapsed="false">
      <c r="A6" s="5" t="s">
        <v>79</v>
      </c>
      <c r="B6" s="11" t="n">
        <f aca="false">Historicals!F29/1000</f>
        <v>1741.546</v>
      </c>
    </row>
    <row r="7" customFormat="false" ht="15" hidden="false" customHeight="false" outlineLevel="0" collapsed="false">
      <c r="A7" s="5" t="s">
        <v>80</v>
      </c>
      <c r="B7" s="12" t="n">
        <v>0</v>
      </c>
      <c r="C7" s="2" t="s">
        <v>81</v>
      </c>
    </row>
    <row r="9" customFormat="false" ht="15" hidden="false" customHeight="false" outlineLevel="0" collapsed="false">
      <c r="A9" s="4" t="s">
        <v>82</v>
      </c>
    </row>
    <row r="10" customFormat="false" ht="15" hidden="false" customHeight="false" outlineLevel="0" collapsed="false">
      <c r="A10" s="5" t="s">
        <v>83</v>
      </c>
      <c r="B10" s="13" t="n">
        <v>0.051</v>
      </c>
    </row>
    <row r="11" customFormat="false" ht="15" hidden="false" customHeight="false" outlineLevel="0" collapsed="false">
      <c r="A11" s="5" t="s">
        <v>84</v>
      </c>
      <c r="B11" s="14" t="n">
        <f aca="false">0.67*0.59+0.33</f>
        <v>0.7253</v>
      </c>
      <c r="C11" s="2" t="s">
        <v>85</v>
      </c>
    </row>
    <row r="12" customFormat="false" ht="15" hidden="false" customHeight="false" outlineLevel="0" collapsed="false">
      <c r="A12" s="5" t="s">
        <v>86</v>
      </c>
      <c r="B12" s="13" t="n">
        <v>0.045</v>
      </c>
    </row>
    <row r="13" customFormat="false" ht="15" hidden="false" customHeight="false" outlineLevel="0" collapsed="false">
      <c r="A13" s="5" t="s">
        <v>87</v>
      </c>
      <c r="B13" s="15" t="n">
        <f aca="false">B10+B11*B12</f>
        <v>0.0836385</v>
      </c>
    </row>
    <row r="14" customFormat="false" ht="15" hidden="false" customHeight="false" outlineLevel="0" collapsed="false">
      <c r="A14" s="5" t="s">
        <v>88</v>
      </c>
      <c r="B14" s="16" t="n">
        <f aca="false">B13</f>
        <v>0.0836385</v>
      </c>
      <c r="C14" s="2" t="s">
        <v>89</v>
      </c>
    </row>
    <row r="16" customFormat="false" ht="15" hidden="false" customHeight="false" outlineLevel="0" collapsed="false">
      <c r="A16" s="4" t="s">
        <v>90</v>
      </c>
    </row>
    <row r="17" customFormat="false" ht="15" hidden="false" customHeight="false" outlineLevel="0" collapsed="false">
      <c r="A17" s="5" t="s">
        <v>91</v>
      </c>
      <c r="B17" s="13" t="n">
        <v>0.025</v>
      </c>
    </row>
    <row r="18" customFormat="false" ht="15" hidden="false" customHeight="false" outlineLevel="0" collapsed="false">
      <c r="A18" s="5" t="s">
        <v>92</v>
      </c>
      <c r="B18" s="17" t="n">
        <v>14</v>
      </c>
    </row>
    <row r="20" customFormat="false" ht="15" hidden="false" customHeight="false" outlineLevel="0" collapsed="false">
      <c r="A20" s="4" t="s">
        <v>93</v>
      </c>
    </row>
    <row r="21" customFormat="false" ht="15" hidden="false" customHeight="false" outlineLevel="0" collapsed="false">
      <c r="A21" s="18"/>
      <c r="B21" s="19" t="s">
        <v>94</v>
      </c>
      <c r="C21" s="19" t="s">
        <v>95</v>
      </c>
      <c r="D21" s="19" t="s">
        <v>96</v>
      </c>
      <c r="E21" s="19" t="s">
        <v>97</v>
      </c>
      <c r="F21" s="19" t="s">
        <v>98</v>
      </c>
    </row>
    <row r="22" customFormat="false" ht="15" hidden="false" customHeight="false" outlineLevel="0" collapsed="false">
      <c r="A22" s="5" t="s">
        <v>99</v>
      </c>
      <c r="B22" s="13" t="n">
        <v>0.05</v>
      </c>
      <c r="C22" s="13" t="n">
        <v>0.05</v>
      </c>
      <c r="D22" s="13" t="n">
        <v>0.04</v>
      </c>
      <c r="E22" s="13" t="n">
        <v>0.04</v>
      </c>
      <c r="F22" s="13" t="n">
        <v>0.03</v>
      </c>
    </row>
    <row r="23" customFormat="false" ht="15" hidden="false" customHeight="false" outlineLevel="0" collapsed="false">
      <c r="A23" s="5" t="s">
        <v>100</v>
      </c>
      <c r="B23" s="13" t="n">
        <v>0.04</v>
      </c>
      <c r="C23" s="13" t="n">
        <v>0.04</v>
      </c>
      <c r="D23" s="13" t="n">
        <v>0.035</v>
      </c>
      <c r="E23" s="13" t="n">
        <v>0.03</v>
      </c>
      <c r="F23" s="13" t="n">
        <v>0.03</v>
      </c>
    </row>
    <row r="24" customFormat="false" ht="15" hidden="false" customHeight="false" outlineLevel="0" collapsed="false">
      <c r="A24" s="5" t="s">
        <v>101</v>
      </c>
      <c r="B24" s="13" t="n">
        <v>0.06</v>
      </c>
      <c r="C24" s="13" t="n">
        <v>0.05</v>
      </c>
      <c r="D24" s="13" t="n">
        <v>0.04</v>
      </c>
      <c r="E24" s="13" t="n">
        <v>0.04</v>
      </c>
      <c r="F24" s="13" t="n">
        <v>0.03</v>
      </c>
    </row>
    <row r="25" customFormat="false" ht="15" hidden="false" customHeight="false" outlineLevel="0" collapsed="false">
      <c r="A25" s="5" t="s">
        <v>102</v>
      </c>
      <c r="B25" s="13" t="n">
        <v>0.07</v>
      </c>
      <c r="C25" s="13" t="n">
        <v>0.06</v>
      </c>
      <c r="D25" s="13" t="n">
        <v>0.05</v>
      </c>
      <c r="E25" s="13" t="n">
        <v>0.04</v>
      </c>
      <c r="F25" s="13" t="n">
        <v>0.03</v>
      </c>
    </row>
    <row r="26" customFormat="false" ht="15" hidden="false" customHeight="false" outlineLevel="0" collapsed="false">
      <c r="A26" s="5" t="s">
        <v>103</v>
      </c>
      <c r="B26" s="13" t="n">
        <v>0.03</v>
      </c>
      <c r="C26" s="13" t="n">
        <v>0.03</v>
      </c>
      <c r="D26" s="13" t="n">
        <v>0.03</v>
      </c>
      <c r="E26" s="13" t="n">
        <v>0.025</v>
      </c>
      <c r="F26" s="13" t="n">
        <v>0.025</v>
      </c>
    </row>
    <row r="27" customFormat="false" ht="15" hidden="false" customHeight="false" outlineLevel="0" collapsed="false">
      <c r="A27" s="5" t="s">
        <v>104</v>
      </c>
      <c r="B27" s="13" t="n">
        <v>0.08</v>
      </c>
      <c r="C27" s="13" t="n">
        <v>0.06</v>
      </c>
      <c r="D27" s="13" t="n">
        <v>0.05</v>
      </c>
      <c r="E27" s="13" t="n">
        <v>0.04</v>
      </c>
      <c r="F27" s="13" t="n">
        <v>0.03</v>
      </c>
    </row>
    <row r="28" customFormat="false" ht="15" hidden="false" customHeight="false" outlineLevel="0" collapsed="false">
      <c r="A28" s="5" t="s">
        <v>105</v>
      </c>
      <c r="B28" s="13" t="n">
        <v>0.02</v>
      </c>
      <c r="C28" s="13" t="n">
        <v>0.02</v>
      </c>
      <c r="D28" s="13" t="n">
        <v>0.02</v>
      </c>
      <c r="E28" s="13" t="n">
        <v>0.02</v>
      </c>
      <c r="F28" s="13" t="n">
        <v>0.02</v>
      </c>
    </row>
    <row r="29" customFormat="false" ht="15" hidden="false" customHeight="false" outlineLevel="0" collapsed="false">
      <c r="A29" s="5" t="s">
        <v>106</v>
      </c>
      <c r="B29" s="13" t="n">
        <v>-0.1</v>
      </c>
      <c r="C29" s="13" t="n">
        <v>-0.05</v>
      </c>
      <c r="D29" s="13" t="n">
        <v>0</v>
      </c>
      <c r="E29" s="13" t="n">
        <v>0</v>
      </c>
      <c r="F29" s="13" t="n">
        <v>0</v>
      </c>
    </row>
    <row r="30" customFormat="false" ht="15" hidden="false" customHeight="false" outlineLevel="0" collapsed="false">
      <c r="A30" s="5" t="s">
        <v>107</v>
      </c>
      <c r="B30" s="13" t="n">
        <v>0.432</v>
      </c>
      <c r="C30" s="13" t="n">
        <v>0.433</v>
      </c>
      <c r="D30" s="13" t="n">
        <v>0.434</v>
      </c>
      <c r="E30" s="13" t="n">
        <v>0.434</v>
      </c>
      <c r="F30" s="13" t="n">
        <v>0.434</v>
      </c>
    </row>
    <row r="31" customFormat="false" ht="15" hidden="false" customHeight="false" outlineLevel="0" collapsed="false">
      <c r="A31" s="5" t="s">
        <v>108</v>
      </c>
      <c r="B31" s="13" t="n">
        <v>0.168</v>
      </c>
      <c r="C31" s="13" t="n">
        <v>0.167</v>
      </c>
      <c r="D31" s="13" t="n">
        <v>0.166</v>
      </c>
      <c r="E31" s="13" t="n">
        <v>0.165</v>
      </c>
      <c r="F31" s="13" t="n">
        <v>0.165</v>
      </c>
    </row>
    <row r="32" customFormat="false" ht="15" hidden="false" customHeight="false" outlineLevel="0" collapsed="false">
      <c r="A32" s="5" t="s">
        <v>109</v>
      </c>
      <c r="B32" s="13" t="n">
        <v>0.065</v>
      </c>
      <c r="C32" s="13" t="n">
        <v>0.065</v>
      </c>
      <c r="D32" s="13" t="n">
        <v>0.065</v>
      </c>
      <c r="E32" s="13" t="n">
        <v>0.065</v>
      </c>
      <c r="F32" s="13" t="n">
        <v>0.065</v>
      </c>
    </row>
    <row r="33" customFormat="false" ht="15" hidden="false" customHeight="false" outlineLevel="0" collapsed="false">
      <c r="A33" s="5" t="s">
        <v>110</v>
      </c>
      <c r="B33" s="13" t="n">
        <v>0.034</v>
      </c>
      <c r="C33" s="13" t="n">
        <v>0.034</v>
      </c>
      <c r="D33" s="13" t="n">
        <v>0.034</v>
      </c>
      <c r="E33" s="13" t="n">
        <v>0.034</v>
      </c>
      <c r="F33" s="13" t="n">
        <v>0.034</v>
      </c>
    </row>
    <row r="34" customFormat="false" ht="15" hidden="false" customHeight="false" outlineLevel="0" collapsed="false">
      <c r="A34" s="5" t="s">
        <v>111</v>
      </c>
      <c r="B34" s="13" t="n">
        <v>0.15</v>
      </c>
      <c r="C34" s="13" t="n">
        <v>0.15</v>
      </c>
      <c r="D34" s="13" t="n">
        <v>0.15</v>
      </c>
      <c r="E34" s="13" t="n">
        <v>0.15</v>
      </c>
      <c r="F34" s="13" t="n">
        <v>0.15</v>
      </c>
    </row>
    <row r="35" customFormat="false" ht="15" hidden="false" customHeight="false" outlineLevel="0" collapsed="false">
      <c r="A35" s="5" t="s">
        <v>112</v>
      </c>
      <c r="B35" s="13" t="n">
        <v>0.013</v>
      </c>
      <c r="C35" s="13" t="n">
        <v>0.013</v>
      </c>
      <c r="D35" s="13" t="n">
        <v>0.013</v>
      </c>
      <c r="E35" s="13" t="n">
        <v>0.013</v>
      </c>
      <c r="F35" s="13" t="n">
        <v>0.013</v>
      </c>
    </row>
    <row r="36" customFormat="false" ht="15" hidden="false" customHeight="false" outlineLevel="0" collapsed="false">
      <c r="A36" s="5" t="s">
        <v>113</v>
      </c>
      <c r="B36" s="13" t="n">
        <v>0.013</v>
      </c>
      <c r="C36" s="13" t="n">
        <v>0.013</v>
      </c>
      <c r="D36" s="13" t="n">
        <v>0.013</v>
      </c>
      <c r="E36" s="13" t="n">
        <v>0.013</v>
      </c>
      <c r="F36" s="13" t="n">
        <v>0.013</v>
      </c>
    </row>
    <row r="37" customFormat="false" ht="15" hidden="false" customHeight="false" outlineLevel="0" collapsed="false">
      <c r="A37" s="5" t="s">
        <v>114</v>
      </c>
      <c r="B37" s="13" t="n">
        <v>0.05</v>
      </c>
      <c r="C37" s="13" t="n">
        <v>0.05</v>
      </c>
      <c r="D37" s="13" t="n">
        <v>0.05</v>
      </c>
      <c r="E37" s="13" t="n">
        <v>0.05</v>
      </c>
      <c r="F37" s="13" t="n">
        <v>0.05</v>
      </c>
    </row>
    <row r="39" customFormat="false" ht="15" hidden="false" customHeight="false" outlineLevel="0" collapsed="false">
      <c r="A39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1"/>
  </cols>
  <sheetData>
    <row r="1" customFormat="false" ht="16.1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3" t="s">
        <v>118</v>
      </c>
      <c r="B4" s="19" t="s">
        <v>119</v>
      </c>
      <c r="C4" s="19" t="s">
        <v>120</v>
      </c>
      <c r="D4" s="19" t="s">
        <v>121</v>
      </c>
      <c r="E4" s="19" t="s">
        <v>122</v>
      </c>
      <c r="F4" s="19" t="s">
        <v>123</v>
      </c>
      <c r="G4" s="19" t="s">
        <v>94</v>
      </c>
      <c r="H4" s="19" t="s">
        <v>95</v>
      </c>
      <c r="I4" s="19" t="s">
        <v>96</v>
      </c>
      <c r="J4" s="19" t="s">
        <v>97</v>
      </c>
      <c r="K4" s="19" t="s">
        <v>98</v>
      </c>
    </row>
    <row r="5" customFormat="false" ht="15" hidden="false" customHeight="false" outlineLevel="0" collapsed="false">
      <c r="A5" s="4" t="s">
        <v>124</v>
      </c>
    </row>
    <row r="6" customFormat="false" ht="15" hidden="false" customHeight="false" outlineLevel="0" collapsed="false">
      <c r="A6" s="5" t="s">
        <v>125</v>
      </c>
      <c r="C6" s="11" t="n">
        <f aca="false">Historicals!C61/1000</f>
        <v>1288.313</v>
      </c>
      <c r="D6" s="11" t="n">
        <f aca="false">Historicals!D61/1000</f>
        <v>1231.063</v>
      </c>
      <c r="E6" s="11" t="n">
        <f aca="false">Historicals!E61/1000</f>
        <v>1338.467</v>
      </c>
      <c r="F6" s="11" t="n">
        <f aca="false">Historicals!F61/1000</f>
        <v>1414.206</v>
      </c>
      <c r="G6" s="11" t="n">
        <f aca="false">F6*(1+Assumptions!B22)</f>
        <v>1484.9163</v>
      </c>
      <c r="H6" s="11" t="n">
        <f aca="false">G6*(1+Assumptions!C22)</f>
        <v>1559.162115</v>
      </c>
      <c r="I6" s="11" t="n">
        <f aca="false">H6*(1+Assumptions!D22)</f>
        <v>1621.5285996</v>
      </c>
      <c r="J6" s="11" t="n">
        <f aca="false">I6*(1+Assumptions!E22)</f>
        <v>1686.389743584</v>
      </c>
      <c r="K6" s="11" t="n">
        <f aca="false">J6*(1+Assumptions!F22)</f>
        <v>1736.98143589152</v>
      </c>
    </row>
    <row r="7" customFormat="false" ht="15" hidden="false" customHeight="false" outlineLevel="0" collapsed="false">
      <c r="A7" s="5" t="s">
        <v>61</v>
      </c>
      <c r="C7" s="11" t="n">
        <f aca="false">Historicals!C62/1000</f>
        <v>836.432</v>
      </c>
      <c r="D7" s="11" t="n">
        <f aca="false">Historicals!D62/1000</f>
        <v>821.441</v>
      </c>
      <c r="E7" s="11" t="n">
        <f aca="false">Historicals!E62/1000</f>
        <v>882.643</v>
      </c>
      <c r="F7" s="11" t="n">
        <f aca="false">Historicals!F62/1000</f>
        <v>937.551</v>
      </c>
      <c r="G7" s="11" t="n">
        <f aca="false">F7*(1+Assumptions!B23)</f>
        <v>975.05304</v>
      </c>
      <c r="H7" s="11" t="n">
        <f aca="false">G7*(1+Assumptions!C23)</f>
        <v>1014.0551616</v>
      </c>
      <c r="I7" s="11" t="n">
        <f aca="false">H7*(1+Assumptions!D23)</f>
        <v>1049.547092256</v>
      </c>
      <c r="J7" s="11" t="n">
        <f aca="false">I7*(1+Assumptions!E23)</f>
        <v>1081.03350502368</v>
      </c>
      <c r="K7" s="11" t="n">
        <f aca="false">J7*(1+Assumptions!F23)</f>
        <v>1113.46451017439</v>
      </c>
    </row>
    <row r="8" customFormat="false" ht="15" hidden="false" customHeight="false" outlineLevel="0" collapsed="false">
      <c r="A8" s="5" t="s">
        <v>62</v>
      </c>
      <c r="C8" s="11" t="n">
        <f aca="false">Historicals!C63/1000</f>
        <v>728.357</v>
      </c>
      <c r="D8" s="11" t="n">
        <f aca="false">Historicals!D63/1000</f>
        <v>742.987</v>
      </c>
      <c r="E8" s="11" t="n">
        <f aca="false">Historicals!E63/1000</f>
        <v>788.784</v>
      </c>
      <c r="F8" s="11" t="n">
        <f aca="false">Historicals!F63/1000</f>
        <v>858.904</v>
      </c>
      <c r="G8" s="11" t="n">
        <f aca="false">F8*(1+Assumptions!B24)</f>
        <v>910.43824</v>
      </c>
      <c r="H8" s="11" t="n">
        <f aca="false">G8*(1+Assumptions!C24)</f>
        <v>955.960152</v>
      </c>
      <c r="I8" s="11" t="n">
        <f aca="false">H8*(1+Assumptions!D24)</f>
        <v>994.19855808</v>
      </c>
      <c r="J8" s="11" t="n">
        <f aca="false">I8*(1+Assumptions!E24)</f>
        <v>1033.9665004032</v>
      </c>
      <c r="K8" s="11" t="n">
        <f aca="false">J8*(1+Assumptions!F24)</f>
        <v>1064.9854954153</v>
      </c>
    </row>
    <row r="9" customFormat="false" ht="15" hidden="false" customHeight="false" outlineLevel="0" collapsed="false">
      <c r="A9" s="5" t="s">
        <v>63</v>
      </c>
      <c r="C9" s="11" t="n">
        <f aca="false">Historicals!C64/1000</f>
        <v>677.923</v>
      </c>
      <c r="D9" s="11" t="n">
        <f aca="false">Historicals!D64/1000</f>
        <v>609.361</v>
      </c>
      <c r="E9" s="11" t="n">
        <f aca="false">Historicals!E64/1000</f>
        <v>626</v>
      </c>
      <c r="F9" s="11" t="n">
        <f aca="false">Historicals!F64/1000</f>
        <v>689.04</v>
      </c>
      <c r="G9" s="11" t="n">
        <f aca="false">F9*(1+Assumptions!B25)</f>
        <v>737.2728</v>
      </c>
      <c r="H9" s="11" t="n">
        <f aca="false">G9*(1+Assumptions!C25)</f>
        <v>781.509168</v>
      </c>
      <c r="I9" s="11" t="n">
        <f aca="false">H9*(1+Assumptions!D25)</f>
        <v>820.5846264</v>
      </c>
      <c r="J9" s="11" t="n">
        <f aca="false">I9*(1+Assumptions!E25)</f>
        <v>853.408011456</v>
      </c>
      <c r="K9" s="11" t="n">
        <f aca="false">J9*(1+Assumptions!F25)</f>
        <v>879.01025179968</v>
      </c>
    </row>
    <row r="10" customFormat="false" ht="15" hidden="false" customHeight="false" outlineLevel="0" collapsed="false">
      <c r="A10" s="5" t="s">
        <v>64</v>
      </c>
      <c r="C10" s="11" t="n">
        <f aca="false">Historicals!C65/1000</f>
        <v>378.688</v>
      </c>
      <c r="D10" s="11" t="n">
        <f aca="false">Historicals!D65/1000</f>
        <v>325.225</v>
      </c>
      <c r="E10" s="11" t="n">
        <f aca="false">Historicals!E65/1000</f>
        <v>315.52</v>
      </c>
      <c r="F10" s="11" t="n">
        <f aca="false">Historicals!F65/1000</f>
        <v>326.172</v>
      </c>
      <c r="G10" s="11" t="n">
        <f aca="false">F10*(1+Assumptions!B26)</f>
        <v>335.95716</v>
      </c>
      <c r="H10" s="11" t="n">
        <f aca="false">G10*(1+Assumptions!C26)</f>
        <v>346.0358748</v>
      </c>
      <c r="I10" s="11" t="n">
        <f aca="false">H10*(1+Assumptions!D26)</f>
        <v>356.416951044</v>
      </c>
      <c r="J10" s="11" t="n">
        <f aca="false">I10*(1+Assumptions!E26)</f>
        <v>365.3273748201</v>
      </c>
      <c r="K10" s="11" t="n">
        <f aca="false">J10*(1+Assumptions!F26)</f>
        <v>374.460559190602</v>
      </c>
    </row>
    <row r="11" customFormat="false" ht="15" hidden="false" customHeight="false" outlineLevel="0" collapsed="false">
      <c r="A11" s="5" t="s">
        <v>65</v>
      </c>
      <c r="C11" s="11" t="n">
        <f aca="false">Historicals!C66/1000</f>
        <v>254.374</v>
      </c>
      <c r="D11" s="11" t="n">
        <f aca="false">Historicals!D66/1000</f>
        <v>254.06</v>
      </c>
      <c r="E11" s="11" t="n">
        <f aca="false">Historicals!E66/1000</f>
        <v>299.54</v>
      </c>
      <c r="F11" s="11" t="n">
        <f aca="false">Historicals!F66/1000</f>
        <v>336.189</v>
      </c>
      <c r="G11" s="11" t="n">
        <f aca="false">F11*(1+Assumptions!B27)</f>
        <v>363.08412</v>
      </c>
      <c r="H11" s="11" t="n">
        <f aca="false">G11*(1+Assumptions!C27)</f>
        <v>384.8691672</v>
      </c>
      <c r="I11" s="11" t="n">
        <f aca="false">H11*(1+Assumptions!D27)</f>
        <v>404.11262556</v>
      </c>
      <c r="J11" s="11" t="n">
        <f aca="false">I11*(1+Assumptions!E27)</f>
        <v>420.2771305824</v>
      </c>
      <c r="K11" s="11" t="n">
        <f aca="false">J11*(1+Assumptions!F27)</f>
        <v>432.885444499872</v>
      </c>
    </row>
    <row r="12" customFormat="false" ht="15" hidden="false" customHeight="false" outlineLevel="0" collapsed="false">
      <c r="A12" s="5" t="s">
        <v>66</v>
      </c>
      <c r="C12" s="11" t="n">
        <f aca="false">Historicals!C67/1000</f>
        <v>176.576</v>
      </c>
      <c r="D12" s="11" t="n">
        <f aca="false">Historicals!D67/1000</f>
        <v>168.478</v>
      </c>
      <c r="E12" s="11" t="n">
        <f aca="false">Historicals!E67/1000</f>
        <v>179.71</v>
      </c>
      <c r="F12" s="11" t="n">
        <f aca="false">Historicals!F67/1000</f>
        <v>179.825</v>
      </c>
      <c r="G12" s="11" t="n">
        <f aca="false">F12*(1+Assumptions!B28)</f>
        <v>183.4215</v>
      </c>
      <c r="H12" s="11" t="n">
        <f aca="false">G12*(1+Assumptions!C28)</f>
        <v>187.08993</v>
      </c>
      <c r="I12" s="11" t="n">
        <f aca="false">H12*(1+Assumptions!D28)</f>
        <v>190.8317286</v>
      </c>
      <c r="J12" s="11" t="n">
        <f aca="false">I12*(1+Assumptions!E28)</f>
        <v>194.648363172</v>
      </c>
      <c r="K12" s="11" t="n">
        <f aca="false">J12*(1+Assumptions!F28)</f>
        <v>198.54133043544</v>
      </c>
    </row>
    <row r="13" customFormat="false" ht="15" hidden="false" customHeight="false" outlineLevel="0" collapsed="false">
      <c r="A13" s="5" t="s">
        <v>126</v>
      </c>
      <c r="C13" s="11" t="n">
        <f aca="false">Historicals!C68/1000</f>
        <v>198.155</v>
      </c>
      <c r="D13" s="11" t="n">
        <f aca="false">Historicals!D68/1000</f>
        <v>145.852</v>
      </c>
      <c r="E13" s="11" t="n">
        <f aca="false">Historicals!E68/1000</f>
        <v>124.236</v>
      </c>
      <c r="F13" s="11" t="n">
        <f aca="false">Historicals!F68/1000</f>
        <v>98.874</v>
      </c>
      <c r="G13" s="11" t="n">
        <f aca="false">F13*(1+Assumptions!B29)</f>
        <v>88.9866</v>
      </c>
      <c r="H13" s="11" t="n">
        <f aca="false">G13*(1+Assumptions!C29)</f>
        <v>84.53727</v>
      </c>
      <c r="I13" s="11" t="n">
        <f aca="false">H13*(1+Assumptions!D29)</f>
        <v>84.53727</v>
      </c>
      <c r="J13" s="11" t="n">
        <f aca="false">I13*(1+Assumptions!E29)</f>
        <v>84.53727</v>
      </c>
      <c r="K13" s="11" t="n">
        <f aca="false">J13*(1+Assumptions!F29)</f>
        <v>84.53727</v>
      </c>
    </row>
    <row r="14" customFormat="false" ht="15" hidden="false" customHeight="false" outlineLevel="0" collapsed="false">
      <c r="A14" s="4" t="s">
        <v>127</v>
      </c>
      <c r="B14" s="20" t="n">
        <f aca="false">Historicals!B7/1000</f>
        <v>5481.101</v>
      </c>
      <c r="C14" s="20" t="n">
        <f aca="false">Historicals!C7/1000</f>
        <v>4538.818</v>
      </c>
      <c r="D14" s="20" t="n">
        <f aca="false">Historicals!D7/1000</f>
        <v>4298.467</v>
      </c>
      <c r="E14" s="20" t="n">
        <f aca="false">Historicals!E7/1000</f>
        <v>4554.9</v>
      </c>
      <c r="F14" s="20" t="n">
        <f aca="false">Historicals!F7/1000</f>
        <v>4840.761</v>
      </c>
      <c r="G14" s="20" t="n">
        <f aca="false">SUM(G6:G13)</f>
        <v>5079.12976</v>
      </c>
      <c r="H14" s="20" t="n">
        <f aca="false">SUM(H6:H13)</f>
        <v>5313.2188386</v>
      </c>
      <c r="I14" s="20" t="n">
        <f aca="false">SUM(I6:I13)</f>
        <v>5521.75745154</v>
      </c>
      <c r="J14" s="20" t="n">
        <f aca="false">SUM(J6:J13)</f>
        <v>5719.58789904138</v>
      </c>
      <c r="K14" s="20" t="n">
        <f aca="false">SUM(K6:K13)</f>
        <v>5884.8662974068</v>
      </c>
    </row>
    <row r="15" customFormat="false" ht="15" hidden="false" customHeight="false" outlineLevel="0" collapsed="false">
      <c r="A15" s="5" t="s">
        <v>128</v>
      </c>
      <c r="C15" s="21" t="n">
        <f aca="false">C14/B14-1</f>
        <v>-0.171914912715529</v>
      </c>
      <c r="D15" s="21" t="n">
        <f aca="false">D14/C14-1</f>
        <v>-0.0529545357403625</v>
      </c>
      <c r="E15" s="21" t="n">
        <f aca="false">E14/D14-1</f>
        <v>0.0596568497559711</v>
      </c>
      <c r="F15" s="21" t="n">
        <f aca="false">F14/E14-1</f>
        <v>0.0627590067839032</v>
      </c>
      <c r="G15" s="21" t="n">
        <f aca="false">G14/F14-1</f>
        <v>0.0492420014125876</v>
      </c>
      <c r="H15" s="21" t="n">
        <f aca="false">H14/G14-1</f>
        <v>0.0460884225568594</v>
      </c>
      <c r="I15" s="21" t="n">
        <f aca="false">I14/H14-1</f>
        <v>0.0392490163260335</v>
      </c>
      <c r="J15" s="21" t="n">
        <f aca="false">J14/I14-1</f>
        <v>0.0358274424832272</v>
      </c>
      <c r="K15" s="21" t="n">
        <f aca="false">K14/J14-1</f>
        <v>0.0288969067846867</v>
      </c>
    </row>
    <row r="17" customFormat="false" ht="15" hidden="false" customHeight="false" outlineLevel="0" collapsed="false">
      <c r="A17" s="4" t="s">
        <v>129</v>
      </c>
      <c r="B17" s="20" t="n">
        <f aca="false">Historicals!B10/1000</f>
        <v>2263.006</v>
      </c>
      <c r="C17" s="20" t="n">
        <f aca="false">Historicals!C10/1000</f>
        <v>1719.515</v>
      </c>
      <c r="D17" s="20" t="n">
        <f aca="false">Historicals!D10/1000</f>
        <v>1778.021</v>
      </c>
      <c r="E17" s="20" t="n">
        <f aca="false">Historicals!E10/1000</f>
        <v>1962.601</v>
      </c>
      <c r="F17" s="20" t="n">
        <f aca="false">Historicals!F10/1000</f>
        <v>2091.337</v>
      </c>
      <c r="G17" s="20" t="n">
        <f aca="false">G14*Assumptions!B30</f>
        <v>2194.18405632</v>
      </c>
      <c r="H17" s="20" t="n">
        <f aca="false">H14*Assumptions!C30</f>
        <v>2300.6237571138</v>
      </c>
      <c r="I17" s="20" t="n">
        <f aca="false">I14*Assumptions!D30</f>
        <v>2396.44273396836</v>
      </c>
      <c r="J17" s="20" t="n">
        <f aca="false">J14*Assumptions!E30</f>
        <v>2482.30114818396</v>
      </c>
      <c r="K17" s="20" t="n">
        <f aca="false">K14*Assumptions!F30</f>
        <v>2554.03197307455</v>
      </c>
    </row>
    <row r="18" customFormat="false" ht="15" hidden="false" customHeight="false" outlineLevel="0" collapsed="false">
      <c r="A18" s="5" t="s">
        <v>130</v>
      </c>
      <c r="B18" s="21" t="n">
        <f aca="false">B17/B14</f>
        <v>0.412874347690364</v>
      </c>
      <c r="C18" s="21" t="n">
        <f aca="false">C17/C14</f>
        <v>0.378846430943034</v>
      </c>
      <c r="D18" s="21" t="n">
        <f aca="false">D17/D14</f>
        <v>0.413640723541672</v>
      </c>
      <c r="E18" s="21" t="n">
        <f aca="false">E17/E14</f>
        <v>0.430876857889306</v>
      </c>
      <c r="F18" s="21" t="n">
        <f aca="false">F17/F14</f>
        <v>0.432026493355074</v>
      </c>
      <c r="G18" s="21" t="n">
        <f aca="false">G17/G14</f>
        <v>0.432</v>
      </c>
      <c r="H18" s="21" t="n">
        <f aca="false">H17/H14</f>
        <v>0.433</v>
      </c>
      <c r="I18" s="21" t="n">
        <f aca="false">I17/I14</f>
        <v>0.434</v>
      </c>
      <c r="J18" s="21" t="n">
        <f aca="false">J17/J14</f>
        <v>0.434</v>
      </c>
      <c r="K18" s="21" t="n">
        <f aca="false">K17/K14</f>
        <v>0.434</v>
      </c>
    </row>
    <row r="19" customFormat="false" ht="15" hidden="false" customHeight="false" outlineLevel="0" collapsed="false">
      <c r="A19" s="5" t="s">
        <v>131</v>
      </c>
      <c r="B19" s="11" t="n">
        <f aca="false">-Historicals!B11/1000</f>
        <v>-1025.899</v>
      </c>
      <c r="C19" s="11" t="n">
        <f aca="false">-Historicals!C11/1000</f>
        <v>-809.182</v>
      </c>
      <c r="D19" s="11" t="n">
        <f aca="false">-Historicals!D11/1000</f>
        <v>-730.31</v>
      </c>
      <c r="E19" s="11" t="n">
        <f aca="false">-Historicals!E11/1000</f>
        <v>-814.414</v>
      </c>
      <c r="F19" s="11" t="n">
        <f aca="false">-Historicals!F11/1000</f>
        <v>-816.604</v>
      </c>
      <c r="G19" s="11" t="n">
        <f aca="false">-G14*Assumptions!B31</f>
        <v>-853.29379968</v>
      </c>
      <c r="H19" s="11" t="n">
        <f aca="false">-H14*Assumptions!C31</f>
        <v>-887.3075460462</v>
      </c>
      <c r="I19" s="11" t="n">
        <f aca="false">-I14*Assumptions!D31</f>
        <v>-916.61173695564</v>
      </c>
      <c r="J19" s="11" t="n">
        <f aca="false">-J14*Assumptions!E31</f>
        <v>-943.732003341828</v>
      </c>
      <c r="K19" s="11" t="n">
        <f aca="false">-K14*Assumptions!F31</f>
        <v>-971.002939072122</v>
      </c>
    </row>
    <row r="20" customFormat="false" ht="15" hidden="false" customHeight="false" outlineLevel="0" collapsed="false">
      <c r="A20" s="5" t="s">
        <v>132</v>
      </c>
      <c r="B20" s="11" t="n">
        <f aca="false">-Historicals!B12/1000</f>
        <v>-291.844</v>
      </c>
      <c r="C20" s="11" t="n">
        <f aca="false">-Historicals!C12/1000</f>
        <v>-280.796</v>
      </c>
      <c r="D20" s="11" t="n">
        <f aca="false">-Historicals!D12/1000</f>
        <v>-287.243</v>
      </c>
      <c r="E20" s="11" t="n">
        <f aca="false">-Historicals!E12/1000</f>
        <v>-309.008</v>
      </c>
      <c r="F20" s="11" t="n">
        <f aca="false">-Historicals!F12/1000</f>
        <v>-316.221</v>
      </c>
      <c r="G20" s="11" t="n">
        <f aca="false">-G14*Assumptions!B32</f>
        <v>-330.1434344</v>
      </c>
      <c r="H20" s="11" t="n">
        <f aca="false">-H14*Assumptions!C32</f>
        <v>-345.359224509</v>
      </c>
      <c r="I20" s="11" t="n">
        <f aca="false">-I14*Assumptions!D32</f>
        <v>-358.9142343501</v>
      </c>
      <c r="J20" s="11" t="n">
        <f aca="false">-J14*Assumptions!E32</f>
        <v>-371.77321343769</v>
      </c>
      <c r="K20" s="11" t="n">
        <f aca="false">-K14*Assumptions!F32</f>
        <v>-382.516309331442</v>
      </c>
    </row>
    <row r="21" customFormat="false" ht="15" hidden="false" customHeight="false" outlineLevel="0" collapsed="false">
      <c r="A21" s="5" t="s">
        <v>133</v>
      </c>
      <c r="B21" s="11" t="n">
        <f aca="false">-Historicals!B13/1000</f>
        <v>-148.648</v>
      </c>
      <c r="C21" s="11" t="n">
        <f aca="false">-Historicals!C13/1000</f>
        <v>-124.652</v>
      </c>
      <c r="D21" s="11" t="n">
        <f aca="false">-Historicals!D13/1000</f>
        <v>-155.056</v>
      </c>
      <c r="E21" s="11" t="n">
        <f aca="false">-Historicals!E13/1000</f>
        <v>-164.014</v>
      </c>
      <c r="F21" s="11" t="n">
        <f aca="false">-Historicals!F13/1000</f>
        <v>-167.16</v>
      </c>
      <c r="G21" s="11" t="n">
        <f aca="false">-G14*Assumptions!B33</f>
        <v>-172.69041184</v>
      </c>
      <c r="H21" s="11" t="n">
        <f aca="false">-H14*Assumptions!C33</f>
        <v>-180.6494405124</v>
      </c>
      <c r="I21" s="11" t="n">
        <f aca="false">-I14*Assumptions!D33</f>
        <v>-187.73975335236</v>
      </c>
      <c r="J21" s="11" t="n">
        <f aca="false">-J14*Assumptions!E33</f>
        <v>-194.465988567407</v>
      </c>
      <c r="K21" s="11" t="n">
        <f aca="false">-K14*Assumptions!F33</f>
        <v>-200.085454111831</v>
      </c>
    </row>
    <row r="22" customFormat="false" ht="15" hidden="false" customHeight="false" outlineLevel="0" collapsed="false">
      <c r="A22" s="4" t="s">
        <v>134</v>
      </c>
      <c r="B22" s="20" t="n">
        <f aca="false">Historicals!B19/1000</f>
        <v>774.012</v>
      </c>
      <c r="C22" s="20" t="n">
        <f aca="false">Historicals!C19/1000</f>
        <v>458.469</v>
      </c>
      <c r="D22" s="20" t="n">
        <f aca="false">Historicals!D19/1000</f>
        <v>587.336</v>
      </c>
      <c r="E22" s="20" t="n">
        <f aca="false">Historicals!E19/1000</f>
        <v>654.855</v>
      </c>
      <c r="F22" s="20" t="n">
        <f aca="false">Historicals!F19/1000</f>
        <v>775.194</v>
      </c>
      <c r="G22" s="20" t="n">
        <f aca="false">SUM(G17,G19:G21)</f>
        <v>838.0564104</v>
      </c>
      <c r="H22" s="20" t="n">
        <f aca="false">SUM(H17,H19:H21)</f>
        <v>887.3075460462</v>
      </c>
      <c r="I22" s="20" t="n">
        <f aca="false">SUM(I17,I19:I21)</f>
        <v>933.17700931026</v>
      </c>
      <c r="J22" s="20" t="n">
        <f aca="false">SUM(J17,J19:J21)</f>
        <v>972.329942837035</v>
      </c>
      <c r="K22" s="20" t="n">
        <f aca="false">SUM(K17,K19:K21)</f>
        <v>1000.42727055916</v>
      </c>
    </row>
    <row r="23" customFormat="false" ht="15" hidden="false" customHeight="false" outlineLevel="0" collapsed="false">
      <c r="A23" s="5" t="s">
        <v>135</v>
      </c>
      <c r="B23" s="21" t="n">
        <f aca="false">B22/B14</f>
        <v>0.141214693909125</v>
      </c>
      <c r="C23" s="21" t="n">
        <f aca="false">C22/C14</f>
        <v>0.101010659603447</v>
      </c>
      <c r="D23" s="21" t="n">
        <f aca="false">D22/D14</f>
        <v>0.136638480649031</v>
      </c>
      <c r="E23" s="21" t="n">
        <f aca="false">E22/E14</f>
        <v>0.143769347296318</v>
      </c>
      <c r="F23" s="21" t="n">
        <f aca="false">F22/F14</f>
        <v>0.160138870727144</v>
      </c>
      <c r="G23" s="21" t="n">
        <f aca="false">G22/G14</f>
        <v>0.165</v>
      </c>
      <c r="H23" s="21" t="n">
        <f aca="false">H22/H14</f>
        <v>0.167</v>
      </c>
      <c r="I23" s="21" t="n">
        <f aca="false">I22/I14</f>
        <v>0.169</v>
      </c>
      <c r="J23" s="21" t="n">
        <f aca="false">J22/J14</f>
        <v>0.17</v>
      </c>
      <c r="K23" s="21" t="n">
        <f aca="false">K22/K14</f>
        <v>0.17</v>
      </c>
    </row>
    <row r="24" customFormat="false" ht="15" hidden="false" customHeight="false" outlineLevel="0" collapsed="false">
      <c r="A24" s="2" t="s">
        <v>136</v>
      </c>
    </row>
    <row r="26" customFormat="false" ht="15" hidden="false" customHeight="false" outlineLevel="0" collapsed="false">
      <c r="A26" s="4" t="s">
        <v>137</v>
      </c>
    </row>
    <row r="27" customFormat="false" ht="15" hidden="false" customHeight="false" outlineLevel="0" collapsed="false">
      <c r="A27" s="5" t="s">
        <v>138</v>
      </c>
      <c r="G27" s="11" t="n">
        <f aca="false">G22</f>
        <v>838.0564104</v>
      </c>
      <c r="H27" s="11" t="n">
        <f aca="false">H22</f>
        <v>887.3075460462</v>
      </c>
      <c r="I27" s="11" t="n">
        <f aca="false">I22</f>
        <v>933.17700931026</v>
      </c>
      <c r="J27" s="11" t="n">
        <f aca="false">J22</f>
        <v>972.329942837035</v>
      </c>
      <c r="K27" s="11" t="n">
        <f aca="false">K22</f>
        <v>1000.42727055916</v>
      </c>
    </row>
    <row r="28" customFormat="false" ht="15" hidden="false" customHeight="false" outlineLevel="0" collapsed="false">
      <c r="A28" s="5" t="s">
        <v>139</v>
      </c>
      <c r="G28" s="11" t="n">
        <f aca="false">-G27*Assumptions!B34</f>
        <v>-125.70846156</v>
      </c>
      <c r="H28" s="11" t="n">
        <f aca="false">-H27*Assumptions!C34</f>
        <v>-133.09613190693</v>
      </c>
      <c r="I28" s="11" t="n">
        <f aca="false">-I27*Assumptions!D34</f>
        <v>-139.976551396539</v>
      </c>
      <c r="J28" s="11" t="n">
        <f aca="false">-J27*Assumptions!E34</f>
        <v>-145.849491425555</v>
      </c>
      <c r="K28" s="11" t="n">
        <f aca="false">-K27*Assumptions!F34</f>
        <v>-150.064090583873</v>
      </c>
    </row>
    <row r="29" customFormat="false" ht="15" hidden="false" customHeight="false" outlineLevel="0" collapsed="false">
      <c r="A29" s="5" t="s">
        <v>140</v>
      </c>
      <c r="G29" s="11" t="n">
        <f aca="false">G14*Assumptions!B35</f>
        <v>66.02868688</v>
      </c>
      <c r="H29" s="11" t="n">
        <f aca="false">H14*Assumptions!C35</f>
        <v>69.0718449018</v>
      </c>
      <c r="I29" s="11" t="n">
        <f aca="false">I14*Assumptions!D35</f>
        <v>71.78284687002</v>
      </c>
      <c r="J29" s="11" t="n">
        <f aca="false">J14*Assumptions!E35</f>
        <v>74.354642687538</v>
      </c>
      <c r="K29" s="11" t="n">
        <f aca="false">K14*Assumptions!F35</f>
        <v>76.5032618662884</v>
      </c>
    </row>
    <row r="30" customFormat="false" ht="15" hidden="false" customHeight="false" outlineLevel="0" collapsed="false">
      <c r="A30" s="5" t="s">
        <v>141</v>
      </c>
      <c r="G30" s="11" t="n">
        <f aca="false">-G14*Assumptions!B36</f>
        <v>-66.02868688</v>
      </c>
      <c r="H30" s="11" t="n">
        <f aca="false">-H14*Assumptions!C36</f>
        <v>-69.0718449018</v>
      </c>
      <c r="I30" s="11" t="n">
        <f aca="false">-I14*Assumptions!D36</f>
        <v>-71.78284687002</v>
      </c>
      <c r="J30" s="11" t="n">
        <f aca="false">-J14*Assumptions!E36</f>
        <v>-74.354642687538</v>
      </c>
      <c r="K30" s="11" t="n">
        <f aca="false">-K14*Assumptions!F36</f>
        <v>-76.5032618662884</v>
      </c>
    </row>
    <row r="31" customFormat="false" ht="15" hidden="false" customHeight="false" outlineLevel="0" collapsed="false">
      <c r="A31" s="5" t="s">
        <v>142</v>
      </c>
      <c r="G31" s="11" t="n">
        <f aca="false">-(G14-F14)*Assumptions!B37</f>
        <v>-11.918438</v>
      </c>
      <c r="H31" s="11" t="n">
        <f aca="false">-(H14-G14)*Assumptions!C37</f>
        <v>-11.70445393</v>
      </c>
      <c r="I31" s="11" t="n">
        <f aca="false">-(I14-H14)*Assumptions!D37</f>
        <v>-10.426930647</v>
      </c>
      <c r="J31" s="11" t="n">
        <f aca="false">-(J14-I14)*Assumptions!E37</f>
        <v>-9.89152237506901</v>
      </c>
      <c r="K31" s="11" t="n">
        <f aca="false">-(K14-J14)*Assumptions!F37</f>
        <v>-8.26391991827104</v>
      </c>
    </row>
    <row r="32" customFormat="false" ht="15" hidden="false" customHeight="false" outlineLevel="0" collapsed="false">
      <c r="A32" s="4" t="s">
        <v>143</v>
      </c>
      <c r="G32" s="20" t="n">
        <f aca="false">SUM(G27:G31)</f>
        <v>700.42951084</v>
      </c>
      <c r="H32" s="20" t="n">
        <f aca="false">SUM(H27:H31)</f>
        <v>742.50696020927</v>
      </c>
      <c r="I32" s="20" t="n">
        <f aca="false">SUM(I27:I31)</f>
        <v>782.773527266721</v>
      </c>
      <c r="J32" s="20" t="n">
        <f aca="false">SUM(J27:J31)</f>
        <v>816.58892903641</v>
      </c>
      <c r="K32" s="20" t="n">
        <f aca="false">SUM(K27:K31)</f>
        <v>842.099260057012</v>
      </c>
    </row>
    <row r="33" customFormat="false" ht="15" hidden="false" customHeight="false" outlineLevel="0" collapsed="false">
      <c r="A33" s="2" t="s">
        <v>144</v>
      </c>
      <c r="B33" s="22" t="n">
        <f aca="false">(Historicals!B55-Historicals!B56)/1000</f>
        <v>209.166</v>
      </c>
      <c r="C33" s="22" t="n">
        <f aca="false">(Historicals!C55-Historicals!C56)/1000</f>
        <v>441.657</v>
      </c>
      <c r="D33" s="22" t="n">
        <f aca="false">(Historicals!D55-Historicals!D56)/1000</f>
        <v>1089.219</v>
      </c>
      <c r="E33" s="22" t="n">
        <f aca="false">(Historicals!E55-Historicals!E56)/1000</f>
        <v>786.429</v>
      </c>
      <c r="F33" s="22" t="n">
        <f aca="false">(Historicals!F55-Historicals!F56)/1000</f>
        <v>975.645</v>
      </c>
    </row>
    <row r="35" customFormat="false" ht="15" hidden="false" customHeight="false" outlineLevel="0" collapsed="false">
      <c r="A35" s="5" t="s">
        <v>145</v>
      </c>
      <c r="G35" s="23" t="n">
        <v>1</v>
      </c>
      <c r="H35" s="23" t="n">
        <v>2</v>
      </c>
      <c r="I35" s="23" t="n">
        <v>3</v>
      </c>
      <c r="J35" s="23" t="n">
        <v>4</v>
      </c>
      <c r="K35" s="23" t="n">
        <v>5</v>
      </c>
    </row>
    <row r="36" customFormat="false" ht="15" hidden="false" customHeight="false" outlineLevel="0" collapsed="false">
      <c r="A36" s="5" t="s">
        <v>146</v>
      </c>
      <c r="G36" s="24" t="n">
        <f aca="false">1/(1+Assumptions!$B$14)^G35</f>
        <v>0.922816972634324</v>
      </c>
      <c r="H36" s="24" t="n">
        <f aca="false">1/(1+Assumptions!$B$14)^H35</f>
        <v>0.851591164981979</v>
      </c>
      <c r="I36" s="24" t="n">
        <f aca="false">1/(1+Assumptions!$B$14)^I35</f>
        <v>0.785862780790807</v>
      </c>
      <c r="J36" s="24" t="n">
        <f aca="false">1/(1+Assumptions!$B$14)^J35</f>
        <v>0.725207512275364</v>
      </c>
      <c r="K36" s="24" t="n">
        <f aca="false">1/(1+Assumptions!$B$14)^K35</f>
        <v>0.669233801009621</v>
      </c>
    </row>
    <row r="37" customFormat="false" ht="15" hidden="false" customHeight="false" outlineLevel="0" collapsed="false">
      <c r="A37" s="4" t="s">
        <v>147</v>
      </c>
      <c r="G37" s="20" t="n">
        <f aca="false">G32*G36</f>
        <v>646.368240737109</v>
      </c>
      <c r="H37" s="20" t="n">
        <f aca="false">H32*H36</f>
        <v>632.31236725184</v>
      </c>
      <c r="I37" s="20" t="n">
        <f aca="false">I32*I36</f>
        <v>615.152580867254</v>
      </c>
      <c r="J37" s="20" t="n">
        <f aca="false">J32*J36</f>
        <v>592.196425778099</v>
      </c>
      <c r="K37" s="20" t="n">
        <f aca="false">K32*K36</f>
        <v>563.561288635343</v>
      </c>
    </row>
    <row r="39" customFormat="false" ht="15" hidden="false" customHeight="false" outlineLevel="0" collapsed="false">
      <c r="A39" s="4" t="s">
        <v>148</v>
      </c>
    </row>
    <row r="40" customFormat="false" ht="15" hidden="false" customHeight="false" outlineLevel="0" collapsed="false">
      <c r="A40" s="5" t="s">
        <v>149</v>
      </c>
      <c r="B40" s="11" t="n">
        <f aca="false">SUM(G37:K37)</f>
        <v>3049.59090326965</v>
      </c>
    </row>
    <row r="41" customFormat="false" ht="15" hidden="false" customHeight="false" outlineLevel="0" collapsed="false">
      <c r="A41" s="5" t="s">
        <v>150</v>
      </c>
      <c r="B41" s="11" t="n">
        <f aca="false">K32*(1+Assumptions!B17)/(Assumptions!B14-Assumptions!B17)</f>
        <v>14719.8809921543</v>
      </c>
    </row>
    <row r="42" customFormat="false" ht="15" hidden="false" customHeight="false" outlineLevel="0" collapsed="false">
      <c r="A42" s="5" t="s">
        <v>151</v>
      </c>
      <c r="B42" s="11" t="n">
        <f aca="false">B41*K36</f>
        <v>9851.04190678866</v>
      </c>
    </row>
    <row r="43" customFormat="false" ht="15" hidden="false" customHeight="false" outlineLevel="0" collapsed="false">
      <c r="A43" s="4" t="s">
        <v>152</v>
      </c>
      <c r="B43" s="20" t="n">
        <f aca="false">B40+B42</f>
        <v>12900.6328100583</v>
      </c>
    </row>
    <row r="44" customFormat="false" ht="15" hidden="false" customHeight="false" outlineLevel="0" collapsed="false">
      <c r="A44" s="5" t="s">
        <v>153</v>
      </c>
      <c r="B44" s="11" t="n">
        <f aca="false">Assumptions!B6</f>
        <v>1741.546</v>
      </c>
    </row>
    <row r="45" customFormat="false" ht="15" hidden="false" customHeight="false" outlineLevel="0" collapsed="false">
      <c r="A45" s="5" t="s">
        <v>154</v>
      </c>
      <c r="B45" s="11" t="n">
        <f aca="false">-Assumptions!B7</f>
        <v>-0</v>
      </c>
    </row>
    <row r="46" customFormat="false" ht="15" hidden="false" customHeight="false" outlineLevel="0" collapsed="false">
      <c r="A46" s="4" t="s">
        <v>155</v>
      </c>
      <c r="B46" s="20" t="n">
        <f aca="false">B43+B44+B45</f>
        <v>14642.1788100583</v>
      </c>
    </row>
    <row r="47" customFormat="false" ht="15" hidden="false" customHeight="false" outlineLevel="0" collapsed="false">
      <c r="A47" s="5" t="s">
        <v>78</v>
      </c>
      <c r="B47" s="10" t="n">
        <f aca="false">Assumptions!B5</f>
        <v>143.502</v>
      </c>
    </row>
    <row r="48" customFormat="false" ht="15" hidden="false" customHeight="false" outlineLevel="0" collapsed="false">
      <c r="A48" s="4" t="s">
        <v>156</v>
      </c>
      <c r="B48" s="25" t="n">
        <f aca="false">B46/B47</f>
        <v>102.034667182745</v>
      </c>
    </row>
    <row r="49" customFormat="false" ht="15" hidden="false" customHeight="false" outlineLevel="0" collapsed="false">
      <c r="A49" s="5" t="s">
        <v>157</v>
      </c>
      <c r="B49" s="26" t="n">
        <f aca="false">Assumptions!B4</f>
        <v>104.41</v>
      </c>
    </row>
    <row r="50" customFormat="false" ht="15" hidden="false" customHeight="false" outlineLevel="0" collapsed="false">
      <c r="A50" s="5" t="s">
        <v>158</v>
      </c>
      <c r="B50" s="27" t="n">
        <f aca="false">B48/B49-1</f>
        <v>-0.0227500509266811</v>
      </c>
    </row>
    <row r="51" customFormat="false" ht="15" hidden="false" customHeight="false" outlineLevel="0" collapsed="false">
      <c r="A51" s="5" t="s">
        <v>159</v>
      </c>
      <c r="B51" s="27" t="n">
        <f aca="false">B42/B43</f>
        <v>0.763609200558599</v>
      </c>
    </row>
    <row r="53" customFormat="false" ht="15" hidden="false" customHeight="false" outlineLevel="0" collapsed="false">
      <c r="A53" s="4" t="s">
        <v>160</v>
      </c>
    </row>
    <row r="54" customFormat="false" ht="15" hidden="false" customHeight="false" outlineLevel="0" collapsed="false">
      <c r="A54" s="5" t="s">
        <v>161</v>
      </c>
      <c r="B54" s="11" t="n">
        <f aca="false">K22+K29</f>
        <v>1076.93053242544</v>
      </c>
    </row>
    <row r="55" customFormat="false" ht="15" hidden="false" customHeight="false" outlineLevel="0" collapsed="false">
      <c r="A55" s="5" t="s">
        <v>162</v>
      </c>
      <c r="B55" s="11" t="n">
        <f aca="false">B54*Assumptions!B18</f>
        <v>15077.0274539562</v>
      </c>
    </row>
    <row r="56" customFormat="false" ht="15" hidden="false" customHeight="false" outlineLevel="0" collapsed="false">
      <c r="A56" s="5" t="s">
        <v>151</v>
      </c>
      <c r="B56" s="11" t="n">
        <f aca="false">B55*K36</f>
        <v>10090.0563909375</v>
      </c>
    </row>
    <row r="57" customFormat="false" ht="15" hidden="false" customHeight="false" outlineLevel="0" collapsed="false">
      <c r="A57" s="4" t="s">
        <v>152</v>
      </c>
      <c r="B57" s="20" t="n">
        <f aca="false">B40+B56</f>
        <v>13139.6472942072</v>
      </c>
    </row>
    <row r="58" customFormat="false" ht="15" hidden="false" customHeight="false" outlineLevel="0" collapsed="false">
      <c r="A58" s="5" t="s">
        <v>155</v>
      </c>
      <c r="B58" s="11" t="n">
        <f aca="false">B57+B44+B45</f>
        <v>14881.1932942072</v>
      </c>
    </row>
    <row r="59" customFormat="false" ht="15" hidden="false" customHeight="false" outlineLevel="0" collapsed="false">
      <c r="A59" s="4" t="s">
        <v>156</v>
      </c>
      <c r="B59" s="25" t="n">
        <f aca="false">B58/B47</f>
        <v>103.700250130362</v>
      </c>
    </row>
    <row r="60" customFormat="false" ht="15" hidden="false" customHeight="false" outlineLevel="0" collapsed="false">
      <c r="A60" s="5" t="s">
        <v>158</v>
      </c>
      <c r="B60" s="27" t="n">
        <f aca="false">B59/B49-1</f>
        <v>-0.00679771927629747</v>
      </c>
    </row>
    <row r="62" customFormat="false" ht="15" hidden="false" customHeight="false" outlineLevel="0" collapsed="false">
      <c r="A62" s="4" t="s">
        <v>163</v>
      </c>
    </row>
    <row r="63" customFormat="false" ht="15" hidden="false" customHeight="false" outlineLevel="0" collapsed="false">
      <c r="A63" s="5" t="str">
        <f aca="false">"Base case value per share is $"&amp;TEXT(B48,"0.00")&amp;" (growth method) and $"&amp;TEXT(B59,"0.00")&amp;" (exit multiple), versus a share price of $"&amp;TEXT(B49,"0.00")&amp;": "&amp;TEXT(ABS(B50),"0.0%")&amp;IF(B50&lt;0," below"," above")&amp;" the market (growth method)."</f>
        <v>Base case value per share is $102.03 (growth method) and $103.70 (exit multiple), versus a share price of $104.41: 2.3% below the market (growth method).</v>
      </c>
    </row>
    <row r="64" customFormat="false" ht="15" hidden="false" customHeight="false" outlineLevel="0" collapsed="false">
      <c r="A64" s="5" t="s">
        <v>164</v>
      </c>
    </row>
    <row r="65" customFormat="false" ht="15" hidden="false" customHeight="false" outlineLevel="0" collapsed="false">
      <c r="A65" s="5" t="str">
        <f aca="false">"Terminal value is "&amp;TEXT(B51,"0%")&amp;" of enterprise value, so the answer depends mainly on WACC and long-run growth (see Sensitivity)."</f>
        <v>Terminal value is 76% of enterprise value, so the answer depends mainly on WACC and long-run growth (see Sensitivity).</v>
      </c>
    </row>
    <row r="66" customFormat="false" ht="15" hidden="false" customHeight="false" outlineLevel="0" collapsed="false">
      <c r="A66" s="5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4" t="s">
        <v>168</v>
      </c>
    </row>
    <row r="5" customFormat="false" ht="15" hidden="false" customHeight="false" outlineLevel="0" collapsed="false">
      <c r="A5" s="4" t="s">
        <v>169</v>
      </c>
      <c r="B5" s="28" t="n">
        <f aca="false">Assumptions!$B$17+(-0.01)</f>
        <v>0.015</v>
      </c>
      <c r="C5" s="28" t="n">
        <f aca="false">Assumptions!$B$17+(-0.005)</f>
        <v>0.02</v>
      </c>
      <c r="D5" s="28" t="n">
        <f aca="false">Assumptions!$B$17+(0)</f>
        <v>0.025</v>
      </c>
      <c r="E5" s="28" t="n">
        <f aca="false">Assumptions!$B$17+(0.005)</f>
        <v>0.03</v>
      </c>
      <c r="F5" s="28" t="n">
        <f aca="false">Assumptions!$B$17+(0.01)</f>
        <v>0.035</v>
      </c>
    </row>
    <row r="6" customFormat="false" ht="15" hidden="false" customHeight="false" outlineLevel="0" collapsed="false">
      <c r="A6" s="28" t="n">
        <f aca="false">Assumptions!$B$14+(-0.01)</f>
        <v>0.0736385</v>
      </c>
      <c r="B6" s="26" t="n">
        <f aca="false">(NPV($A6,DCF!$G$32:$K$32)+DCF!$K$32*(1+B$5)/($A6-B$5)/(1+$A6)^5+Assumptions!$B$6-Assumptions!$B$7)/Assumptions!$B$5</f>
        <v>105.1777807065</v>
      </c>
      <c r="C6" s="26" t="n">
        <f aca="false">(NPV($A6,DCF!$G$32:$K$32)+DCF!$K$32*(1+C$5)/($A6-C$5)/(1+$A6)^5+Assumptions!$B$6-Assumptions!$B$7)/Assumptions!$B$5</f>
        <v>112.198531423953</v>
      </c>
      <c r="D6" s="26" t="n">
        <f aca="false">(NPV($A6,DCF!$G$32:$K$32)+DCF!$K$32*(1+D$5)/($A6-D$5)/(1+$A6)^5+Assumptions!$B$6-Assumptions!$B$7)/Assumptions!$B$5</f>
        <v>120.662737576391</v>
      </c>
      <c r="E6" s="26" t="n">
        <f aca="false">(NPV($A6,DCF!$G$32:$K$32)+DCF!$K$32*(1+E$5)/($A6-E$5)/(1+$A6)^5+Assumptions!$B$6-Assumptions!$B$7)/Assumptions!$B$5</f>
        <v>131.066562678252</v>
      </c>
      <c r="F6" s="26" t="n">
        <f aca="false">(NPV($A6,DCF!$G$32:$K$32)+DCF!$K$32*(1+F$5)/($A6-F$5)/(1+$A6)^5+Assumptions!$B$6-Assumptions!$B$7)/Assumptions!$B$5</f>
        <v>144.162993627095</v>
      </c>
    </row>
    <row r="7" customFormat="false" ht="15" hidden="false" customHeight="false" outlineLevel="0" collapsed="false">
      <c r="A7" s="28" t="n">
        <f aca="false">Assumptions!$B$14+(-0.005)</f>
        <v>0.0786385</v>
      </c>
      <c r="B7" s="26" t="n">
        <f aca="false">(NPV($A7,DCF!$G$32:$K$32)+DCF!$K$32*(1+B$5)/($A7-B$5)/(1+$A7)^5+Assumptions!$B$6-Assumptions!$B$7)/Assumptions!$B$5</f>
        <v>97.7799239749295</v>
      </c>
      <c r="C7" s="26" t="n">
        <f aca="false">(NPV($A7,DCF!$G$32:$K$32)+DCF!$K$32*(1+C$5)/($A7-C$5)/(1+$A7)^5+Assumptions!$B$6-Assumptions!$B$7)/Assumptions!$B$5</f>
        <v>103.588489315374</v>
      </c>
      <c r="D7" s="26" t="n">
        <f aca="false">(NPV($A7,DCF!$G$32:$K$32)+DCF!$K$32*(1+D$5)/($A7-D$5)/(1+$A7)^5+Assumptions!$B$6-Assumptions!$B$7)/Assumptions!$B$5</f>
        <v>110.479964383057</v>
      </c>
      <c r="E7" s="26" t="n">
        <f aca="false">(NPV($A7,DCF!$G$32:$K$32)+DCF!$K$32*(1+E$5)/($A7-E$5)/(1+$A7)^5+Assumptions!$B$6-Assumptions!$B$7)/Assumptions!$B$5</f>
        <v>118.788316013069</v>
      </c>
      <c r="F7" s="26" t="n">
        <f aca="false">(NPV($A7,DCF!$G$32:$K$32)+DCF!$K$32*(1+F$5)/($A7-F$5)/(1+$A7)^5+Assumptions!$B$6-Assumptions!$B$7)/Assumptions!$B$5</f>
        <v>129.000571679656</v>
      </c>
    </row>
    <row r="8" customFormat="false" ht="15" hidden="false" customHeight="false" outlineLevel="0" collapsed="false">
      <c r="A8" s="28" t="n">
        <f aca="false">Assumptions!$B$14+(0)</f>
        <v>0.0836385</v>
      </c>
      <c r="B8" s="26" t="n">
        <f aca="false">(NPV($A8,DCF!$G$32:$K$32)+DCF!$K$32*(1+B$5)/($A8-B$5)/(1+$A8)^5+Assumptions!$B$6-Assumptions!$B$7)/Assumptions!$B$5</f>
        <v>91.4612105176241</v>
      </c>
      <c r="C8" s="26" t="n">
        <f aca="false">(NPV($A8,DCF!$G$32:$K$32)+DCF!$K$32*(1+C$5)/($A8-C$5)/(1+$A8)^5+Assumptions!$B$6-Assumptions!$B$7)/Assumptions!$B$5</f>
        <v>96.3325669972528</v>
      </c>
      <c r="D8" s="29" t="n">
        <f aca="false">(NPV($A8,DCF!$G$32:$K$32)+DCF!$K$32*(1+D$5)/($A8-D$5)/(1+$A8)^5+Assumptions!$B$6-Assumptions!$B$7)/Assumptions!$B$5</f>
        <v>102.034667182745</v>
      </c>
      <c r="E8" s="26" t="n">
        <f aca="false">(NPV($A8,DCF!$G$32:$K$32)+DCF!$K$32*(1+E$5)/($A8-E$5)/(1+$A8)^5+Assumptions!$B$6-Assumptions!$B$7)/Assumptions!$B$5</f>
        <v>108.799828450388</v>
      </c>
      <c r="F8" s="26" t="n">
        <f aca="false">(NPV($A8,DCF!$G$32:$K$32)+DCF!$K$32*(1+F$5)/($A8-F$5)/(1+$A8)^5+Assumptions!$B$6-Assumptions!$B$7)/Assumptions!$B$5</f>
        <v>116.955896359404</v>
      </c>
    </row>
    <row r="9" customFormat="false" ht="15" hidden="false" customHeight="false" outlineLevel="0" collapsed="false">
      <c r="A9" s="28" t="n">
        <f aca="false">Assumptions!$B$14+(0.005)</f>
        <v>0.0886385</v>
      </c>
      <c r="B9" s="26" t="n">
        <f aca="false">(NPV($A9,DCF!$G$32:$K$32)+DCF!$K$32*(1+B$5)/($A9-B$5)/(1+$A9)^5+Assumptions!$B$6-Assumptions!$B$7)/Assumptions!$B$5</f>
        <v>86.001793274797</v>
      </c>
      <c r="C9" s="26" t="n">
        <f aca="false">(NPV($A9,DCF!$G$32:$K$32)+DCF!$K$32*(1+C$5)/($A9-C$5)/(1+$A9)^5+Assumptions!$B$6-Assumptions!$B$7)/Assumptions!$B$5</f>
        <v>90.1348166535456</v>
      </c>
      <c r="D9" s="26" t="n">
        <f aca="false">(NPV($A9,DCF!$G$32:$K$32)+DCF!$K$32*(1+D$5)/($A9-D$5)/(1+$A9)^5+Assumptions!$B$6-Assumptions!$B$7)/Assumptions!$B$5</f>
        <v>94.917293331594</v>
      </c>
      <c r="E9" s="26" t="n">
        <f aca="false">(NPV($A9,DCF!$G$32:$K$32)+DCF!$K$32*(1+E$5)/($A9-E$5)/(1+$A9)^5+Assumptions!$B$6-Assumptions!$B$7)/Assumptions!$B$5</f>
        <v>100.515356472128</v>
      </c>
      <c r="F9" s="26" t="n">
        <f aca="false">(NPV($A9,DCF!$G$32:$K$32)+DCF!$K$32*(1+F$5)/($A9-F$5)/(1+$A9)^5+Assumptions!$B$6-Assumptions!$B$7)/Assumptions!$B$5</f>
        <v>107.157084730169</v>
      </c>
    </row>
    <row r="10" customFormat="false" ht="15" hidden="false" customHeight="false" outlineLevel="0" collapsed="false">
      <c r="A10" s="28" t="n">
        <f aca="false">Assumptions!$B$14+(0.01)</f>
        <v>0.0936385</v>
      </c>
      <c r="B10" s="26" t="n">
        <f aca="false">(NPV($A10,DCF!$G$32:$K$32)+DCF!$K$32*(1+B$5)/($A10-B$5)/(1+$A10)^5+Assumptions!$B$6-Assumptions!$B$7)/Assumptions!$B$5</f>
        <v>81.2377392498679</v>
      </c>
      <c r="C10" s="26" t="n">
        <f aca="false">(NPV($A10,DCF!$G$32:$K$32)+DCF!$K$32*(1+C$5)/($A10-C$5)/(1+$A10)^5+Assumptions!$B$6-Assumptions!$B$7)/Assumptions!$B$5</f>
        <v>84.779669622933</v>
      </c>
      <c r="D10" s="26" t="n">
        <f aca="false">(NPV($A10,DCF!$G$32:$K$32)+DCF!$K$32*(1+D$5)/($A10-D$5)/(1+$A10)^5+Assumptions!$B$6-Assumptions!$B$7)/Assumptions!$B$5</f>
        <v>88.8376267700483</v>
      </c>
      <c r="E10" s="26" t="n">
        <f aca="false">(NPV($A10,DCF!$G$32:$K$32)+DCF!$K$32*(1+E$5)/($A10-E$5)/(1+$A10)^5+Assumptions!$B$6-Assumptions!$B$7)/Assumptions!$B$5</f>
        <v>93.5332414903489</v>
      </c>
      <c r="F10" s="26" t="n">
        <f aca="false">(NPV($A10,DCF!$G$32:$K$32)+DCF!$K$32*(1+F$5)/($A10-F$5)/(1+$A10)^5+Assumptions!$B$6-Assumptions!$B$7)/Assumptions!$B$5</f>
        <v>99.0296295456258</v>
      </c>
    </row>
    <row r="13" customFormat="false" ht="15" hidden="false" customHeight="false" outlineLevel="0" collapsed="false">
      <c r="A13" s="4" t="s">
        <v>170</v>
      </c>
    </row>
    <row r="14" customFormat="false" ht="15" hidden="false" customHeight="false" outlineLevel="0" collapsed="false">
      <c r="A14" s="4" t="s">
        <v>171</v>
      </c>
      <c r="B14" s="30" t="n">
        <f aca="false">Assumptions!$B$18+(-2)</f>
        <v>12</v>
      </c>
      <c r="C14" s="30" t="n">
        <f aca="false">Assumptions!$B$18+(-1)</f>
        <v>13</v>
      </c>
      <c r="D14" s="30" t="n">
        <f aca="false">Assumptions!$B$18+(0)</f>
        <v>14</v>
      </c>
      <c r="E14" s="30" t="n">
        <f aca="false">Assumptions!$B$18+(1)</f>
        <v>15</v>
      </c>
      <c r="F14" s="30" t="n">
        <f aca="false">Assumptions!$B$18+(2)</f>
        <v>16</v>
      </c>
    </row>
    <row r="15" customFormat="false" ht="15" hidden="false" customHeight="false" outlineLevel="0" collapsed="false">
      <c r="A15" s="28" t="n">
        <f aca="false">Assumptions!$B$14+(-0.01)</f>
        <v>0.0736385</v>
      </c>
      <c r="B15" s="26" t="n">
        <f aca="false">(NPV($A15,DCF!$G$32:$K$32)+(DCF!$K$22+DCF!$K$29)*B$14/(1+$A15)^5+Assumptions!$B$6-Assumptions!$B$7)/Assumptions!$B$5</f>
        <v>97.1025978161385</v>
      </c>
      <c r="C15" s="26" t="n">
        <f aca="false">(NPV($A15,DCF!$G$32:$K$32)+(DCF!$K$22+DCF!$K$29)*C$14/(1+$A15)^5+Assumptions!$B$6-Assumptions!$B$7)/Assumptions!$B$5</f>
        <v>102.363247143796</v>
      </c>
      <c r="D15" s="26" t="n">
        <f aca="false">(NPV($A15,DCF!$G$32:$K$32)+(DCF!$K$22+DCF!$K$29)*D$14/(1+$A15)^5+Assumptions!$B$6-Assumptions!$B$7)/Assumptions!$B$5</f>
        <v>107.623896471453</v>
      </c>
      <c r="E15" s="26" t="n">
        <f aca="false">(NPV($A15,DCF!$G$32:$K$32)+(DCF!$K$22+DCF!$K$29)*E$14/(1+$A15)^5+Assumptions!$B$6-Assumptions!$B$7)/Assumptions!$B$5</f>
        <v>112.88454579911</v>
      </c>
      <c r="F15" s="26" t="n">
        <f aca="false">(NPV($A15,DCF!$G$32:$K$32)+(DCF!$K$22+DCF!$K$29)*F$14/(1+$A15)^5+Assumptions!$B$6-Assumptions!$B$7)/Assumptions!$B$5</f>
        <v>118.145195126767</v>
      </c>
    </row>
    <row r="16" customFormat="false" ht="15" hidden="false" customHeight="false" outlineLevel="0" collapsed="false">
      <c r="A16" s="28" t="n">
        <f aca="false">Assumptions!$B$14+(-0.005)</f>
        <v>0.0786385</v>
      </c>
      <c r="B16" s="26" t="n">
        <f aca="false">(NPV($A16,DCF!$G$32:$K$32)+(DCF!$K$22+DCF!$K$29)*B$14/(1+$A16)^5+Assumptions!$B$6-Assumptions!$B$7)/Assumptions!$B$5</f>
        <v>95.356041713829</v>
      </c>
      <c r="C16" s="26" t="n">
        <f aca="false">(NPV($A16,DCF!$G$32:$K$32)+(DCF!$K$22+DCF!$K$29)*C$14/(1+$A16)^5+Assumptions!$B$6-Assumptions!$B$7)/Assumptions!$B$5</f>
        <v>100.495888203408</v>
      </c>
      <c r="D16" s="26" t="n">
        <f aca="false">(NPV($A16,DCF!$G$32:$K$32)+(DCF!$K$22+DCF!$K$29)*D$14/(1+$A16)^5+Assumptions!$B$6-Assumptions!$B$7)/Assumptions!$B$5</f>
        <v>105.635734692986</v>
      </c>
      <c r="E16" s="26" t="n">
        <f aca="false">(NPV($A16,DCF!$G$32:$K$32)+(DCF!$K$22+DCF!$K$29)*E$14/(1+$A16)^5+Assumptions!$B$6-Assumptions!$B$7)/Assumptions!$B$5</f>
        <v>110.775581182565</v>
      </c>
      <c r="F16" s="26" t="n">
        <f aca="false">(NPV($A16,DCF!$G$32:$K$32)+(DCF!$K$22+DCF!$K$29)*F$14/(1+$A16)^5+Assumptions!$B$6-Assumptions!$B$7)/Assumptions!$B$5</f>
        <v>115.915427672143</v>
      </c>
    </row>
    <row r="17" customFormat="false" ht="15" hidden="false" customHeight="false" outlineLevel="0" collapsed="false">
      <c r="A17" s="28" t="n">
        <f aca="false">Assumptions!$B$14+(0)</f>
        <v>0.0836385</v>
      </c>
      <c r="B17" s="26" t="n">
        <f aca="false">(NPV($A17,DCF!$G$32:$K$32)+(DCF!$K$22+DCF!$K$29)*B$14/(1+$A17)^5+Assumptions!$B$6-Assumptions!$B$7)/Assumptions!$B$5</f>
        <v>93.6555355809005</v>
      </c>
      <c r="C17" s="26" t="n">
        <f aca="false">(NPV($A17,DCF!$G$32:$K$32)+(DCF!$K$22+DCF!$K$29)*C$14/(1+$A17)^5+Assumptions!$B$6-Assumptions!$B$7)/Assumptions!$B$5</f>
        <v>98.6778928556312</v>
      </c>
      <c r="D17" s="29" t="n">
        <f aca="false">(NPV($A17,DCF!$G$32:$K$32)+(DCF!$K$22+DCF!$K$29)*D$14/(1+$A17)^5+Assumptions!$B$6-Assumptions!$B$7)/Assumptions!$B$5</f>
        <v>103.700250130362</v>
      </c>
      <c r="E17" s="26" t="n">
        <f aca="false">(NPV($A17,DCF!$G$32:$K$32)+(DCF!$K$22+DCF!$K$29)*E$14/(1+$A17)^5+Assumptions!$B$6-Assumptions!$B$7)/Assumptions!$B$5</f>
        <v>108.722607405092</v>
      </c>
      <c r="F17" s="26" t="n">
        <f aca="false">(NPV($A17,DCF!$G$32:$K$32)+(DCF!$K$22+DCF!$K$29)*F$14/(1+$A17)^5+Assumptions!$B$6-Assumptions!$B$7)/Assumptions!$B$5</f>
        <v>113.744964679823</v>
      </c>
    </row>
    <row r="18" customFormat="false" ht="15" hidden="false" customHeight="false" outlineLevel="0" collapsed="false">
      <c r="A18" s="28" t="n">
        <f aca="false">Assumptions!$B$14+(0.005)</f>
        <v>0.0886385</v>
      </c>
      <c r="B18" s="26" t="n">
        <f aca="false">(NPV($A18,DCF!$G$32:$K$32)+(DCF!$K$22+DCF!$K$29)*B$14/(1+$A18)^5+Assumptions!$B$6-Assumptions!$B$7)/Assumptions!$B$5</f>
        <v>91.9996419216384</v>
      </c>
      <c r="C18" s="26" t="n">
        <f aca="false">(NPV($A18,DCF!$G$32:$K$32)+(DCF!$K$22+DCF!$K$29)*C$14/(1+$A18)^5+Assumptions!$B$6-Assumptions!$B$7)/Assumptions!$B$5</f>
        <v>96.9077180465503</v>
      </c>
      <c r="D18" s="26" t="n">
        <f aca="false">(NPV($A18,DCF!$G$32:$K$32)+(DCF!$K$22+DCF!$K$29)*D$14/(1+$A18)^5+Assumptions!$B$6-Assumptions!$B$7)/Assumptions!$B$5</f>
        <v>101.815794171462</v>
      </c>
      <c r="E18" s="26" t="n">
        <f aca="false">(NPV($A18,DCF!$G$32:$K$32)+(DCF!$K$22+DCF!$K$29)*E$14/(1+$A18)^5+Assumptions!$B$6-Assumptions!$B$7)/Assumptions!$B$5</f>
        <v>106.723870296374</v>
      </c>
      <c r="F18" s="26" t="n">
        <f aca="false">(NPV($A18,DCF!$G$32:$K$32)+(DCF!$K$22+DCF!$K$29)*F$14/(1+$A18)^5+Assumptions!$B$6-Assumptions!$B$7)/Assumptions!$B$5</f>
        <v>111.631946421286</v>
      </c>
    </row>
    <row r="19" customFormat="false" ht="15" hidden="false" customHeight="false" outlineLevel="0" collapsed="false">
      <c r="A19" s="28" t="n">
        <f aca="false">Assumptions!$B$14+(0.01)</f>
        <v>0.0936385</v>
      </c>
      <c r="B19" s="26" t="n">
        <f aca="false">(NPV($A19,DCF!$G$32:$K$32)+(DCF!$K$22+DCF!$K$29)*B$14/(1+$A19)^5+Assumptions!$B$6-Assumptions!$B$7)/Assumptions!$B$5</f>
        <v>90.3869746986493</v>
      </c>
      <c r="C19" s="26" t="n">
        <f aca="false">(NPV($A19,DCF!$G$32:$K$32)+(DCF!$K$22+DCF!$K$29)*C$14/(1+$A19)^5+Assumptions!$B$6-Assumptions!$B$7)/Assumptions!$B$5</f>
        <v>95.1838760061557</v>
      </c>
      <c r="D19" s="26" t="n">
        <f aca="false">(NPV($A19,DCF!$G$32:$K$32)+(DCF!$K$22+DCF!$K$29)*D$14/(1+$A19)^5+Assumptions!$B$6-Assumptions!$B$7)/Assumptions!$B$5</f>
        <v>99.9807773136622</v>
      </c>
      <c r="E19" s="26" t="n">
        <f aca="false">(NPV($A19,DCF!$G$32:$K$32)+(DCF!$K$22+DCF!$K$29)*E$14/(1+$A19)^5+Assumptions!$B$6-Assumptions!$B$7)/Assumptions!$B$5</f>
        <v>104.777678621169</v>
      </c>
      <c r="F19" s="26" t="n">
        <f aca="false">(NPV($A19,DCF!$G$32:$K$32)+(DCF!$K$22+DCF!$K$29)*F$14/(1+$A19)^5+Assumptions!$B$6-Assumptions!$B$7)/Assumptions!$B$5</f>
        <v>109.574579928675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2026-10-17T16:21:50Z</dcterms:created>
  <dc:creator>openpyxl</dc:creator>
  <dc:description/>
  <dc:language>en-US</dc:language>
  <cp:lastModifiedBy/>
  <dcterms:modified xsi:type="dcterms:W3CDTF">2026-10-17T16:21:50Z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