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Historicals" sheetId="2" state="visible" r:id="rId4"/>
    <sheet name="Inputs" sheetId="3" state="visible" r:id="rId5"/>
    <sheet name="DCF" sheetId="4" state="visible" r:id="rId6"/>
    <sheet name="Sensitivity" sheetId="5" state="visible" r:id="rId7"/>
    <sheet name="Check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<sst xmlns="http://schemas.openxmlformats.org/spreadsheetml/2006/main" count="272" uniqueCount="247">
  <si>
    <t xml:space="preserve">Logitech International (NASDAQ: LOGI) – DCF valuation summary</t>
  </si>
  <si>
    <t xml:space="preserve">Implied value per share – perpetuity growth</t>
  </si>
  <si>
    <t xml:space="preserve">Implied value per share – exit multiple</t>
  </si>
  <si>
    <t xml:space="preserve">Current share price</t>
  </si>
  <si>
    <t xml:space="preserve">Upside / (downside) – perpetuity growth</t>
  </si>
  <si>
    <t xml:space="preserve">Enterprise value (USD m)</t>
  </si>
  <si>
    <t xml:space="preserve">Equity value (USD m)</t>
  </si>
  <si>
    <t xml:space="preserve">WACC</t>
  </si>
  <si>
    <t xml:space="preserve">Terminal growth</t>
  </si>
  <si>
    <t xml:space="preserve">Terminal value % of EV</t>
  </si>
  <si>
    <t xml:space="preserve">Model integrity checks</t>
  </si>
  <si>
    <t xml:space="preserve">Football field (USD per share)</t>
  </si>
  <si>
    <t xml:space="preserve">Method</t>
  </si>
  <si>
    <t xml:space="preserve">Low</t>
  </si>
  <si>
    <t xml:space="preserve">High</t>
  </si>
  <si>
    <t xml:space="preserve">Range</t>
  </si>
  <si>
    <t xml:space="preserve">DCF – perpetuity (WACC ±1%, g ±1%)</t>
  </si>
  <si>
    <t xml:space="preserve">DCF – exit multiple (WACC ±1%, ±2x)</t>
  </si>
  <si>
    <t xml:space="preserve">52-week trading range</t>
  </si>
  <si>
    <t xml:space="preserve">52-week range: stockanalysis.com, 16 Oct 2026. Current price marker not charted; see B6.</t>
  </si>
  <si>
    <t xml:space="preserve">Logitech International S.A. – Historical financials (USD thousands, fiscal years ended 31 March)</t>
  </si>
  <si>
    <t xml:space="preserve">Blue = hard-coded from SEC filings (Form 8-K Ex. 99.1 full-year results releases). Black = formula. Sources listed at bottom.</t>
  </si>
  <si>
    <t xml:space="preserve">USD thousands</t>
  </si>
  <si>
    <t xml:space="preserve">FY2022</t>
  </si>
  <si>
    <t xml:space="preserve">FY2023</t>
  </si>
  <si>
    <t xml:space="preserve">FY2024</t>
  </si>
  <si>
    <t xml:space="preserve">FY2025</t>
  </si>
  <si>
    <t xml:space="preserve">FY2026</t>
  </si>
  <si>
    <t xml:space="preserve">INCOME STATEMENT</t>
  </si>
  <si>
    <t xml:space="preserve">Net sales</t>
  </si>
  <si>
    <t xml:space="preserve">Cost of goods sold</t>
  </si>
  <si>
    <t xml:space="preserve">Amortization of intangibles (in cost of sales)</t>
  </si>
  <si>
    <t xml:space="preserve">Gross profit (as reported)</t>
  </si>
  <si>
    <t xml:space="preserve">Marketing and selling</t>
  </si>
  <si>
    <t xml:space="preserve">Research and development</t>
  </si>
  <si>
    <t xml:space="preserve">General and administrative</t>
  </si>
  <si>
    <t xml:space="preserve">Amortization of intangibles &amp; acquisition-related costs</t>
  </si>
  <si>
    <t xml:space="preserve">Impairment of intangible assets</t>
  </si>
  <si>
    <t xml:space="preserve">Change in fair value of contingent consideration</t>
  </si>
  <si>
    <t xml:space="preserve">Restructuring charges, net</t>
  </si>
  <si>
    <t xml:space="preserve">Total operating expenses (as reported)</t>
  </si>
  <si>
    <t xml:space="preserve">Operating income (as reported)</t>
  </si>
  <si>
    <t xml:space="preserve">Interest income</t>
  </si>
  <si>
    <t xml:space="preserve">Other income (expense), net  [FY22 derived: not printed]</t>
  </si>
  <si>
    <t xml:space="preserve">Income before income taxes (as reported)</t>
  </si>
  <si>
    <t xml:space="preserve">Provision for income taxes</t>
  </si>
  <si>
    <t xml:space="preserve">Net income (as reported)</t>
  </si>
  <si>
    <t xml:space="preserve">Diluted EPS (USD)</t>
  </si>
  <si>
    <t xml:space="preserve">Diluted weighted average shares (thousands)</t>
  </si>
  <si>
    <t xml:space="preserve">BALANCE SHEET (31 March)</t>
  </si>
  <si>
    <t xml:space="preserve">Cash and cash equivalents</t>
  </si>
  <si>
    <t xml:space="preserve">Accounts receivable, net</t>
  </si>
  <si>
    <t xml:space="preserve">Inventories</t>
  </si>
  <si>
    <t xml:space="preserve">Other current assets</t>
  </si>
  <si>
    <t xml:space="preserve">Total current assets (as reported)</t>
  </si>
  <si>
    <t xml:space="preserve">Property, plant and equipment, net</t>
  </si>
  <si>
    <t xml:space="preserve">Goodwill</t>
  </si>
  <si>
    <t xml:space="preserve">Other intangible assets, net</t>
  </si>
  <si>
    <t xml:space="preserve">Other assets</t>
  </si>
  <si>
    <t xml:space="preserve">Total assets (as reported)</t>
  </si>
  <si>
    <t xml:space="preserve">Accounts payable</t>
  </si>
  <si>
    <t xml:space="preserve">Accrued and other current liabilities</t>
  </si>
  <si>
    <t xml:space="preserve">Total current liabilities (as reported)</t>
  </si>
  <si>
    <t xml:space="preserve">Income taxes payable (non-current)</t>
  </si>
  <si>
    <t xml:space="preserve">Other non-current liabilities</t>
  </si>
  <si>
    <t xml:space="preserve">Total liabilities (as reported)</t>
  </si>
  <si>
    <t xml:space="preserve">Total shareholders' equity (as reported)</t>
  </si>
  <si>
    <t xml:space="preserve">Total liabilities and shareholders' equity (as reported)</t>
  </si>
  <si>
    <t xml:space="preserve">Issued shares (thousands)</t>
  </si>
  <si>
    <t xml:space="preserve">Treasury shares (thousands)</t>
  </si>
  <si>
    <t xml:space="preserve">CASH FLOW STATEMENT</t>
  </si>
  <si>
    <t xml:space="preserve">Net income</t>
  </si>
  <si>
    <t xml:space="preserve">Depreciation</t>
  </si>
  <si>
    <t xml:space="preserve">Amortization of intangible assets</t>
  </si>
  <si>
    <t xml:space="preserve">Share-based compensation expense</t>
  </si>
  <si>
    <t xml:space="preserve">Net cash provided by operating activities</t>
  </si>
  <si>
    <t xml:space="preserve">Purchases of property, plant and equipment</t>
  </si>
  <si>
    <t xml:space="preserve">Share repurchases</t>
  </si>
  <si>
    <t xml:space="preserve">Dividends paid</t>
  </si>
  <si>
    <t xml:space="preserve">NET SALES BY PRODUCT CATEGORY</t>
  </si>
  <si>
    <t xml:space="preserve">Gaming (incl. Streamlabs)</t>
  </si>
  <si>
    <t xml:space="preserve">Keyboards &amp; Combos</t>
  </si>
  <si>
    <t xml:space="preserve">Pointing Devices</t>
  </si>
  <si>
    <t xml:space="preserve">Video Collaboration</t>
  </si>
  <si>
    <t xml:space="preserve">Webcams</t>
  </si>
  <si>
    <t xml:space="preserve">Tablet Accessories</t>
  </si>
  <si>
    <t xml:space="preserve">Headsets</t>
  </si>
  <si>
    <t xml:space="preserve">Other (mainly mobile and PC speakers)</t>
  </si>
  <si>
    <t xml:space="preserve">Sources: Logitech Form 8-K Exhibit 99.1 – Q4 &amp; full fiscal year results: FY2026 (sec.gov/Archives/edgar/data/0001032975/000103297526000014/exhibit991q4fy26.htm),</t>
  </si>
  <si>
    <t xml:space="preserve">FY2024 (…/000103297524000015/exhibit991q4fy24.htm) for FY2024/FY2023, FY2022 (…/000103297522000008/exhibit991q4fy22ng.htm) for FY2022.</t>
  </si>
  <si>
    <t xml:space="preserve">Preliminary full-year results releases; audited Form 10-K figures may differ marginally. FY2023 category data reflect the company's later reclassification.</t>
  </si>
  <si>
    <t xml:space="preserve">Category sales shown for FY2023–FY2026 only (FY2022 categories not on the same basis).</t>
  </si>
  <si>
    <t xml:space="preserve">Inputs &amp; assumptions (blue = editable input)</t>
  </si>
  <si>
    <t xml:space="preserve">Scenario selector (1 = Bear, 2 = Base, 3 = Bull)</t>
  </si>
  <si>
    <t xml:space="preserve">Active scenario</t>
  </si>
  <si>
    <t xml:space="preserve">Scenario</t>
  </si>
  <si>
    <t xml:space="preserve">Revenue growth Δ (pp per year, all categories)</t>
  </si>
  <si>
    <t xml:space="preserve">Gross margin Δ (pp)</t>
  </si>
  <si>
    <t xml:space="preserve">Bear</t>
  </si>
  <si>
    <t xml:space="preserve">Base</t>
  </si>
  <si>
    <t xml:space="preserve">Bull</t>
  </si>
  <si>
    <t xml:space="preserve">Active growth Δ</t>
  </si>
  <si>
    <t xml:space="preserve">Active gross margin Δ</t>
  </si>
  <si>
    <t xml:space="preserve">Market data &amp; capital structure</t>
  </si>
  <si>
    <t xml:space="preserve">Valuation date</t>
  </si>
  <si>
    <t xml:space="preserve">Model date</t>
  </si>
  <si>
    <t xml:space="preserve">Share price (USD)</t>
  </si>
  <si>
    <t xml:space="preserve">LOGI (NASDAQ) close 16 Oct 2026 – stockanalysis.com</t>
  </si>
  <si>
    <t xml:space="preserve">Shares outstanding (m)</t>
  </si>
  <si>
    <t xml:space="preserve">Issued less treasury, 31 Mar 2026 (excludes unvested RSUs; SBC is treated as a cash-like cost, not added back)</t>
  </si>
  <si>
    <t xml:space="preserve">Cash &amp; equivalents (USD m)</t>
  </si>
  <si>
    <t xml:space="preserve">31 Mar 2026 balance sheet</t>
  </si>
  <si>
    <t xml:space="preserve">Debt (USD m)</t>
  </si>
  <si>
    <t xml:space="preserve">No borrowings on the balance sheet; operating leases excluded</t>
  </si>
  <si>
    <t xml:space="preserve">Cost of capital (CAPM / WACC)</t>
  </si>
  <si>
    <t xml:space="preserve">Risk-free rate (US 10-yr Treasury)</t>
  </si>
  <si>
    <t xml:space="preserve">FRED DGS10, 15 Oct 2026: 5.10%</t>
  </si>
  <si>
    <t xml:space="preserve">Raw equity beta</t>
  </si>
  <si>
    <t xml:space="preserve">stockanalysis.com (LOGI), Oct 2026</t>
  </si>
  <si>
    <t xml:space="preserve">Adjusted beta (Blume: 0.67 × raw + 0.33)</t>
  </si>
  <si>
    <t xml:space="preserve">Pulls raw beta toward 1.0</t>
  </si>
  <si>
    <t xml:space="preserve">Equity risk premium</t>
  </si>
  <si>
    <t xml:space="preserve">Assumption – within the commonly used 4–5.5% range; test in Sensitivity</t>
  </si>
  <si>
    <t xml:space="preserve">Cost of equity</t>
  </si>
  <si>
    <t xml:space="preserve">Rf + β × ERP</t>
  </si>
  <si>
    <t xml:space="preserve">Pre-tax cost of debt</t>
  </si>
  <si>
    <t xml:space="preserve">Placeholder – inactive at 0% debt weight</t>
  </si>
  <si>
    <t xml:space="preserve">Tax rate for debt shield</t>
  </si>
  <si>
    <t xml:space="preserve">Debt / (Debt + Equity)</t>
  </si>
  <si>
    <t xml:space="preserve">Logitech carries no financial debt</t>
  </si>
  <si>
    <t xml:space="preserve">Terminal value</t>
  </si>
  <si>
    <t xml:space="preserve">Terminal growth rate</t>
  </si>
  <si>
    <t xml:space="preserve">Assumption – long-run nominal growth below the risk-free rate</t>
  </si>
  <si>
    <t xml:space="preserve">Exit EV/EBITDA multiple</t>
  </si>
  <si>
    <t xml:space="preserve">Assumption – below the c.15.5x implied by current price on FY2026 EBITDA</t>
  </si>
  <si>
    <t xml:space="preserve">Operating forecast drivers (Base case; scenario deltas apply on top)</t>
  </si>
  <si>
    <t xml:space="preserve">Driver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</si>
  <si>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</si>
  <si>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</si>
  <si>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</si>
  <si>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</si>
  <si>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</si>
  <si>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Gaming growth</t>
  </si>
  <si>
    <t xml:space="preserve">Keyboards &amp; Combos growth</t>
  </si>
  <si>
    <t xml:space="preserve">Pointing Devices growth</t>
  </si>
  <si>
    <t xml:space="preserve">Video Collaboration growth</t>
  </si>
  <si>
    <t xml:space="preserve">Webcams growth</t>
  </si>
  <si>
    <t xml:space="preserve">Tablet Accessories growth</t>
  </si>
  <si>
    <t xml:space="preserve">Headsets growth</t>
  </si>
  <si>
    <t xml:space="preserve">Other growth</t>
  </si>
  <si>
    <t xml:space="preserve">Gross margin (after amortization in cost of sales)</t>
  </si>
  <si>
    <t xml:space="preserve">Marketing &amp; selling, % of sales</t>
  </si>
  <si>
    <t xml:space="preserve">Research &amp; development, % of sales</t>
  </si>
  <si>
    <t xml:space="preserve">General &amp; administrative, % of sales</t>
  </si>
  <si>
    <t xml:space="preserve">Tax rate on EBIT</t>
  </si>
  <si>
    <t xml:space="preserve">Depreciation, % of sales</t>
  </si>
  <si>
    <t xml:space="preserve">Capex, % of sales</t>
  </si>
  <si>
    <t xml:space="preserve">Increase in NWC, % of incremental sales</t>
  </si>
  <si>
    <t xml:space="preserve">Calibration notes: category growth tapers from FY2027 (Q1 FY27 guidance: sales +4–6% USD) toward 3%; gross margin held near FY2026's 43.2%; opex ratios from FY2026 actuals (S&amp;M 16.9%, R&amp;D 6.5%, G&amp;A 3.5%);</t>
  </si>
  <si>
    <t xml:space="preserve">tax 15% vs FY2026 effective 14.0%; depreciation and capex at FY2026 level (1.3% of sales). Share-based compensation stays inside operating costs (no add-back).</t>
  </si>
  <si>
    <t xml:space="preserve">Logitech – Discounted cash flow (USD millions unless stated)</t>
  </si>
  <si>
    <t xml:space="preserve">USD m</t>
  </si>
  <si>
    <t xml:space="preserve">FY2022A</t>
  </si>
  <si>
    <t xml:space="preserve">FY2023A</t>
  </si>
  <si>
    <t xml:space="preserve">FY2024A</t>
  </si>
  <si>
    <t xml:space="preserve">FY2025A</t>
  </si>
  <si>
    <t xml:space="preserve">FY2026A</t>
  </si>
  <si>
    <t xml:space="preserve">Fiscal year end</t>
  </si>
  <si>
    <t xml:space="preserve">Net sales by product category</t>
  </si>
  <si>
    <t xml:space="preserve">Gaming</t>
  </si>
  <si>
    <t xml:space="preserve">Other</t>
  </si>
  <si>
    <t xml:space="preserve">Total net sales</t>
  </si>
  <si>
    <t xml:space="preserve">  growth %</t>
  </si>
  <si>
    <t xml:space="preserve">Operating profit</t>
  </si>
  <si>
    <t xml:space="preserve">Gross profit</t>
  </si>
  <si>
    <t xml:space="preserve">  gross margin %</t>
  </si>
  <si>
    <t xml:space="preserve">Marketing &amp; selling</t>
  </si>
  <si>
    <t xml:space="preserve">Research &amp; development</t>
  </si>
  <si>
    <t xml:space="preserve">General &amp; administrative</t>
  </si>
  <si>
    <t xml:space="preserve">Other operating items (amortization, impairment, restructuring)</t>
  </si>
  <si>
    <t xml:space="preserve">EBIT (operating income)</t>
  </si>
  <si>
    <t xml:space="preserve">  EBIT margin %</t>
  </si>
  <si>
    <t xml:space="preserve">Amortization of intangibles</t>
  </si>
  <si>
    <t xml:space="preserve">EBITDA</t>
  </si>
  <si>
    <t xml:space="preserve">Unlevered free cash flow</t>
  </si>
  <si>
    <t xml:space="preserve">Less: tax on EBIT</t>
  </si>
  <si>
    <t xml:space="preserve">NOPAT</t>
  </si>
  <si>
    <t xml:space="preserve">Plus: depreciation &amp; amortization</t>
  </si>
  <si>
    <t xml:space="preserve">Less: capital expenditure</t>
  </si>
  <si>
    <t xml:space="preserve">Less: increase in net working capital</t>
  </si>
  <si>
    <t xml:space="preserve">Unlevered free cash flow (UFCF)</t>
  </si>
  <si>
    <t xml:space="preserve">  UFCF margin %</t>
  </si>
  <si>
    <t xml:space="preserve">Memo: reported FCF (operating cash flow – capex)</t>
  </si>
  <si>
    <t xml:space="preserve">Discounting (mid-period convention, stub from valuation date)</t>
  </si>
  <si>
    <t xml:space="preserve">Fraction of year included</t>
  </si>
  <si>
    <t xml:space="preserve">Discount period (years, mid-period)</t>
  </si>
  <si>
    <t xml:space="preserve">Discount factor</t>
  </si>
  <si>
    <t xml:space="preserve">UFCF in period</t>
  </si>
  <si>
    <t xml:space="preserve">PV of UFCF</t>
  </si>
  <si>
    <t xml:space="preserve">Valuation – perpetuity growth method (base)</t>
  </si>
  <si>
    <t xml:space="preserve">Sum of PV of UFCF</t>
  </si>
  <si>
    <t xml:space="preserve">Terminal-year UFCF (FY2031E)</t>
  </si>
  <si>
    <t xml:space="preserve">Terminal value at end FY2031E</t>
  </si>
  <si>
    <t xml:space="preserve">Years to end of FY2031E</t>
  </si>
  <si>
    <t xml:space="preserve">PV of terminal value</t>
  </si>
  <si>
    <t xml:space="preserve">Enterprise value</t>
  </si>
  <si>
    <t xml:space="preserve">  Terminal value % of EV</t>
  </si>
  <si>
    <t xml:space="preserve">Plus: cash</t>
  </si>
  <si>
    <t xml:space="preserve">Less: debt</t>
  </si>
  <si>
    <t xml:space="preserve">Equity value</t>
  </si>
  <si>
    <t xml:space="preserve">Implied value per share (USD)</t>
  </si>
  <si>
    <t xml:space="preserve">Current share price (USD)</t>
  </si>
  <si>
    <t xml:space="preserve">Upside / (downside) vs current</t>
  </si>
  <si>
    <t xml:space="preserve">Implied EV / FY2026 EBITDA</t>
  </si>
  <si>
    <t xml:space="preserve">Implied EV / FY2027E EBITDA</t>
  </si>
  <si>
    <t xml:space="preserve">Valuation – exit multiple method (cross-check)</t>
  </si>
  <si>
    <t xml:space="preserve">FY2031E EBITDA</t>
  </si>
  <si>
    <t xml:space="preserve">Terminal value at exit multiple</t>
  </si>
  <si>
    <t xml:space="preserve">Perpetuity growth implied by exit multiple</t>
  </si>
  <si>
    <t xml:space="preserve">EV/EBITDA implied by perpetuity method</t>
  </si>
  <si>
    <t xml:space="preserve">Sensitivity analysis – implied value per share (USD)</t>
  </si>
  <si>
    <t xml:space="preserve">Every cell is a live formula (no Excel data tables), so the grids update with any change in Inputs.</t>
  </si>
  <si>
    <t xml:space="preserve">Table 1: WACC (down) vs terminal growth (across) – perpetuity method</t>
  </si>
  <si>
    <t xml:space="preserve">WACC \ g</t>
  </si>
  <si>
    <t xml:space="preserve">Table 2: WACC (down) vs exit EV/EBITDA multiple (across) – exit multiple method</t>
  </si>
  <si>
    <t xml:space="preserve">WACC \ multiple</t>
  </si>
  <si>
    <t xml:space="preserve">Table 3: Upside / (downside) vs current price – Table 1 re-expressed</t>
  </si>
  <si>
    <t xml:space="preserve">Model integrity checks (tolerance: 1 = USD 1 thousand rounding)</t>
  </si>
  <si>
    <t xml:space="preserve">Overall status</t>
  </si>
  <si>
    <t xml:space="preserve">Check (difference, USD thousands)</t>
  </si>
  <si>
    <t xml:space="preserve">Pass?</t>
  </si>
  <si>
    <t xml:space="preserve">Gross profit = sales − COGS − amortization in COGS</t>
  </si>
  <si>
    <t xml:space="preserve">Total opex = sum of opex lines</t>
  </si>
  <si>
    <t xml:space="preserve">EBIT = gross profit − opex</t>
  </si>
  <si>
    <t xml:space="preserve">Pre-tax income = EBIT + interest + other</t>
  </si>
  <si>
    <t xml:space="preserve">Net income = pre-tax income − tax</t>
  </si>
  <si>
    <t xml:space="preserve">Current assets = sum of components</t>
  </si>
  <si>
    <t xml:space="preserve">Total assets = sum of components</t>
  </si>
  <si>
    <t xml:space="preserve">Current liabilities = AP + accrued</t>
  </si>
  <si>
    <t xml:space="preserve">Total liabilities = current + non-current</t>
  </si>
  <si>
    <t xml:space="preserve">Assets = liabilities + equity</t>
  </si>
  <si>
    <t xml:space="preserve">Cash-flow net income = income-statement net income</t>
  </si>
  <si>
    <t xml:space="preserve">Category sales = total net sales (FY2023–FY2026)</t>
  </si>
  <si>
    <t xml:space="preserve">Forecast category sum = total net sales (FY2027E–FY2031E)</t>
  </si>
  <si>
    <t xml:space="preserve">WACC exceeds terminal growth</t>
  </si>
  <si>
    <t xml:space="preserve">Sensitivity base cell = DCF implied price</t>
  </si>
  <si>
    <t xml:space="preserve">Exit-multiple sensitivity base cell = DCF exit-multiple price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</si>
</sst>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.00"/>
    <numFmt numFmtId="166" formatCode="0.0%"/>
    <numFmt numFmtId="167" formatCode="#,##0.0;\(#,##0.0\);\-"/>
    <numFmt numFmtId="168" formatCode="#,##0;\(#,##0\);\-"/>
    <numFmt numFmtId="169" formatCode="0.00"/>
    <numFmt numFmtId="170" formatCode="yyyy\-mm\-dd"/>
    <numFmt numFmtId="171" formatCode="0.000"/>
    <numFmt numFmtId="172" formatCode="0.0\x"/>
    <numFmt numFmtId="173" formatCode="dd\-mmm\-yy"/>
    <numFmt numFmtId="174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Valuation range per share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Summary!B16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Summary!$A$17:$A$19</c:f>
              <c:strCache>
                <c:ptCount val="3"/>
                <c:pt idx="0">
                  <c:v>DCF – perpetuity (WACC ±1%, g ±1%)</c:v>
                </c:pt>
                <c:pt idx="1">
                  <c:v>DCF – exit multiple (WACC ±1%, ±2x)</c:v>
                </c:pt>
                <c:pt idx="2">
                  <c:v>52-week trading range</c:v>
                </c:pt>
              </c:strCache>
            </c:strRef>
          </c:cat>
          <c:val>
            <c:numRef>
              <c:f>Summary!$B$17:$B$19</c:f>
              <c:numCache>
                <c:formatCode>\$#,##0.00</c:formatCode>
                <c:ptCount val="3"/>
                <c:pt idx="0">
                  <c:v>82.9662813473787</c:v>
                </c:pt>
                <c:pt idx="1">
                  <c:v>92.5754432579944</c:v>
                </c:pt>
                <c:pt idx="2">
                  <c:v>83.32</c:v>
                </c:pt>
              </c:numCache>
            </c:numRef>
          </c:val>
        </c:ser>
        <c:ser>
          <c:idx val="1"/>
          <c:order val="1"/>
          <c:tx>
            <c:strRef>
              <c:f>Summary!D16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Summary!$A$17:$A$19</c:f>
              <c:strCache>
                <c:ptCount val="3"/>
                <c:pt idx="0">
                  <c:v>DCF – perpetuity (WACC ±1%, g ±1%)</c:v>
                </c:pt>
                <c:pt idx="1">
                  <c:v>DCF – exit multiple (WACC ±1%, ±2x)</c:v>
                </c:pt>
                <c:pt idx="2">
                  <c:v>52-week trading range</c:v>
                </c:pt>
              </c:strCache>
            </c:strRef>
          </c:cat>
          <c:val>
            <c:numRef>
              <c:f>Summary!$D$17:$D$19</c:f>
              <c:numCache>
                <c:formatCode>\$#,##0.00</c:formatCode>
                <c:ptCount val="3"/>
                <c:pt idx="0">
                  <c:v>64.5331837226401</c:v>
                </c:pt>
                <c:pt idx="1">
                  <c:v>27.8732861180579</c:v>
                </c:pt>
                <c:pt idx="2">
                  <c:v>46.34</c:v>
                </c:pt>
              </c:numCache>
            </c:numRef>
          </c:val>
        </c:ser>
        <c:gapWidth val="150"/>
        <c:overlap val="100"/>
        <c:axId val="24184977"/>
        <c:axId val="87486207"/>
      </c:barChart>
      <c:catAx>
        <c:axId val="241849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86207"/>
        <c:crosses val="autoZero"/>
        <c:auto val="1"/>
        <c:lblAlgn val="ctr"/>
        <c:lblOffset val="100"/>
        <c:noMultiLvlLbl val="0"/>
      </c:catAx>
      <c:valAx>
        <c:axId val="874862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849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160920</xdr:rowOff>
    </xdr:from>
    <xdr:to>
      <xdr:col>4</xdr:col>
      <xdr:colOff>136080</xdr:colOff>
      <xdr:row>34</xdr:row>
      <xdr:rowOff>13320</xdr:rowOff>
    </xdr:to>
    <xdr:graphicFrame>
      <xdr:nvGraphicFramePr>
        <xdr:cNvPr id="0" name="Chart 1"/>
        <xdr:cNvGraphicFramePr/>
      </xdr:nvGraphicFramePr>
      <xdr:xfrm>
        <a:off x="0" y="4000680"/>
        <a:ext cx="64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"Scenario: "&amp;Inputs!B4&amp;"   |   Valuation date "&amp;TEXT(Inputs!B14,"d mmm yyyy")&amp;"   |   USD"</f>
        <v>Scenario: Base   |   Valuation date 17 Oct 2026   |   USD</v>
      </c>
    </row>
    <row r="4" customFormat="false" ht="15" hidden="false" customHeight="false" outlineLevel="0" collapsed="false">
      <c r="A4" s="3" t="s">
        <v>1</v>
      </c>
      <c r="B4" s="4" t="n">
        <f aca="false">DCF!B58</f>
        <v>104.256786583453</v>
      </c>
    </row>
    <row r="5" customFormat="false" ht="15" hidden="false" customHeight="false" outlineLevel="0" collapsed="false">
      <c r="A5" s="3" t="s">
        <v>2</v>
      </c>
      <c r="B5" s="4" t="n">
        <f aca="false">DCF!B70</f>
        <v>105.997314606932</v>
      </c>
    </row>
    <row r="6" customFormat="false" ht="15" hidden="false" customHeight="false" outlineLevel="0" collapsed="false">
      <c r="A6" s="5" t="s">
        <v>3</v>
      </c>
      <c r="B6" s="6" t="n">
        <f aca="false">Inputs!B15</f>
        <v>104.41</v>
      </c>
    </row>
    <row r="7" customFormat="false" ht="15" hidden="false" customHeight="false" outlineLevel="0" collapsed="false">
      <c r="A7" s="5" t="s">
        <v>4</v>
      </c>
      <c r="B7" s="7" t="n">
        <f aca="false">DCF!B60</f>
        <v>-0.00146742090361685</v>
      </c>
    </row>
    <row r="8" customFormat="false" ht="15" hidden="false" customHeight="false" outlineLevel="0" collapsed="false">
      <c r="A8" s="5" t="s">
        <v>5</v>
      </c>
      <c r="B8" s="8" t="n">
        <f aca="false">DCF!B52</f>
        <v>13219.5113882987</v>
      </c>
    </row>
    <row r="9" customFormat="false" ht="15" hidden="false" customHeight="false" outlineLevel="0" collapsed="false">
      <c r="A9" s="5" t="s">
        <v>6</v>
      </c>
      <c r="B9" s="8" t="n">
        <f aca="false">DCF!B56</f>
        <v>14961.0573882987</v>
      </c>
    </row>
    <row r="10" customFormat="false" ht="15" hidden="false" customHeight="false" outlineLevel="0" collapsed="false">
      <c r="A10" s="5" t="s">
        <v>7</v>
      </c>
      <c r="B10" s="7" t="n">
        <f aca="false">Inputs!B29</f>
        <v>0.0836385</v>
      </c>
    </row>
    <row r="11" customFormat="false" ht="15" hidden="false" customHeight="false" outlineLevel="0" collapsed="false">
      <c r="A11" s="5" t="s">
        <v>8</v>
      </c>
      <c r="B11" s="7" t="n">
        <f aca="false">Inputs!B31</f>
        <v>0.025</v>
      </c>
    </row>
    <row r="12" customFormat="false" ht="15" hidden="false" customHeight="false" outlineLevel="0" collapsed="false">
      <c r="A12" s="5" t="s">
        <v>9</v>
      </c>
      <c r="B12" s="7" t="n">
        <f aca="false">DCF!B53</f>
        <v>0.778720338151649</v>
      </c>
    </row>
    <row r="13" customFormat="false" ht="15" hidden="false" customHeight="false" outlineLevel="0" collapsed="false">
      <c r="A13" s="5" t="s">
        <v>10</v>
      </c>
      <c r="B13" s="3" t="str">
        <f aca="false">Checks!B3</f>
        <v>ALL CHECKS PASS</v>
      </c>
    </row>
    <row r="15" customFormat="false" ht="15" hidden="false" customHeight="false" outlineLevel="0" collapsed="false">
      <c r="A15" s="9" t="s">
        <v>11</v>
      </c>
      <c r="B15" s="10"/>
      <c r="C15" s="10"/>
      <c r="D15" s="10"/>
      <c r="E15" s="10"/>
    </row>
    <row r="16" customFormat="false" ht="15" hidden="false" customHeight="false" outlineLevel="0" collapsed="false">
      <c r="A16" s="11" t="s">
        <v>12</v>
      </c>
      <c r="B16" s="12" t="s">
        <v>13</v>
      </c>
      <c r="C16" s="12" t="s">
        <v>14</v>
      </c>
      <c r="D16" s="12" t="s">
        <v>15</v>
      </c>
    </row>
    <row r="17" customFormat="false" ht="15" hidden="false" customHeight="false" outlineLevel="0" collapsed="false">
      <c r="A17" s="5" t="s">
        <v>16</v>
      </c>
      <c r="B17" s="13" t="n">
        <f aca="false">MIN(Sensitivity!B6:F10)</f>
        <v>82.9662813473787</v>
      </c>
      <c r="C17" s="13" t="n">
        <f aca="false">MAX(Sensitivity!B6:F10)</f>
        <v>147.499465070019</v>
      </c>
      <c r="D17" s="13" t="n">
        <f aca="false">C17-B17</f>
        <v>64.5331837226401</v>
      </c>
    </row>
    <row r="18" customFormat="false" ht="15" hidden="false" customHeight="false" outlineLevel="0" collapsed="false">
      <c r="A18" s="5" t="s">
        <v>17</v>
      </c>
      <c r="B18" s="13" t="n">
        <f aca="false">MIN(Sensitivity!B15:F19)</f>
        <v>92.5754432579944</v>
      </c>
      <c r="C18" s="13" t="n">
        <f aca="false">MAX(Sensitivity!B15:F19)</f>
        <v>120.448729376052</v>
      </c>
      <c r="D18" s="13" t="n">
        <f aca="false">C18-B18</f>
        <v>27.8732861180579</v>
      </c>
    </row>
    <row r="19" customFormat="false" ht="15" hidden="false" customHeight="false" outlineLevel="0" collapsed="false">
      <c r="A19" s="5" t="s">
        <v>18</v>
      </c>
      <c r="B19" s="14" t="n">
        <v>83.32</v>
      </c>
      <c r="C19" s="14" t="n">
        <v>129.66</v>
      </c>
      <c r="D19" s="13" t="n">
        <f aca="false">C19-B19</f>
        <v>46.34</v>
      </c>
    </row>
    <row r="20" customFormat="false" ht="15" hidden="false" customHeight="false" outlineLevel="0" collapsed="false">
      <c r="A20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15" hidden="false" customHeight="false" outlineLevel="0" collapsed="false">
      <c r="A4" s="11" t="s">
        <v>22</v>
      </c>
      <c r="B4" s="12" t="s">
        <v>23</v>
      </c>
      <c r="C4" s="12" t="s">
        <v>24</v>
      </c>
      <c r="D4" s="12" t="s">
        <v>25</v>
      </c>
      <c r="E4" s="12" t="s">
        <v>26</v>
      </c>
      <c r="F4" s="12" t="s">
        <v>27</v>
      </c>
    </row>
    <row r="6" customFormat="false" ht="15" hidden="false" customHeight="false" outlineLevel="0" collapsed="false">
      <c r="A6" s="9" t="s">
        <v>28</v>
      </c>
      <c r="B6" s="10"/>
      <c r="C6" s="10"/>
      <c r="D6" s="10"/>
      <c r="E6" s="10"/>
      <c r="F6" s="10"/>
    </row>
    <row r="7" customFormat="false" ht="15" hidden="false" customHeight="false" outlineLevel="0" collapsed="false">
      <c r="A7" s="5" t="s">
        <v>29</v>
      </c>
      <c r="B7" s="15" t="n">
        <v>5481101</v>
      </c>
      <c r="C7" s="15" t="n">
        <v>4538818</v>
      </c>
      <c r="D7" s="15" t="n">
        <v>4298467</v>
      </c>
      <c r="E7" s="15" t="n">
        <v>4554900</v>
      </c>
      <c r="F7" s="15" t="n">
        <v>4840761</v>
      </c>
    </row>
    <row r="8" customFormat="false" ht="15" hidden="false" customHeight="false" outlineLevel="0" collapsed="false">
      <c r="A8" s="5" t="s">
        <v>30</v>
      </c>
      <c r="B8" s="15" t="n">
        <v>3204072</v>
      </c>
      <c r="C8" s="15" t="n">
        <v>2806438</v>
      </c>
      <c r="D8" s="15" t="n">
        <v>2509418</v>
      </c>
      <c r="E8" s="15" t="n">
        <v>2582745</v>
      </c>
      <c r="F8" s="15" t="n">
        <v>2742407</v>
      </c>
    </row>
    <row r="9" customFormat="false" ht="15" hidden="false" customHeight="false" outlineLevel="0" collapsed="false">
      <c r="A9" s="5" t="s">
        <v>31</v>
      </c>
      <c r="B9" s="15" t="n">
        <v>14023</v>
      </c>
      <c r="C9" s="15" t="n">
        <v>12865</v>
      </c>
      <c r="D9" s="15" t="n">
        <v>11028</v>
      </c>
      <c r="E9" s="15" t="n">
        <v>9554</v>
      </c>
      <c r="F9" s="15" t="n">
        <v>7017</v>
      </c>
    </row>
    <row r="10" customFormat="false" ht="15" hidden="false" customHeight="false" outlineLevel="0" collapsed="false">
      <c r="A10" s="3" t="s">
        <v>32</v>
      </c>
      <c r="B10" s="15" t="n">
        <v>2263006</v>
      </c>
      <c r="C10" s="15" t="n">
        <v>1719515</v>
      </c>
      <c r="D10" s="15" t="n">
        <v>1778021</v>
      </c>
      <c r="E10" s="15" t="n">
        <v>1962601</v>
      </c>
      <c r="F10" s="15" t="n">
        <v>2091337</v>
      </c>
    </row>
    <row r="11" customFormat="false" ht="15" hidden="false" customHeight="false" outlineLevel="0" collapsed="false">
      <c r="A11" s="5" t="s">
        <v>33</v>
      </c>
      <c r="B11" s="15" t="n">
        <v>1025899</v>
      </c>
      <c r="C11" s="15" t="n">
        <v>809182</v>
      </c>
      <c r="D11" s="15" t="n">
        <v>730310</v>
      </c>
      <c r="E11" s="15" t="n">
        <v>814414</v>
      </c>
      <c r="F11" s="15" t="n">
        <v>816604</v>
      </c>
    </row>
    <row r="12" customFormat="false" ht="15" hidden="false" customHeight="false" outlineLevel="0" collapsed="false">
      <c r="A12" s="5" t="s">
        <v>34</v>
      </c>
      <c r="B12" s="15" t="n">
        <v>291844</v>
      </c>
      <c r="C12" s="15" t="n">
        <v>280796</v>
      </c>
      <c r="D12" s="15" t="n">
        <v>287243</v>
      </c>
      <c r="E12" s="15" t="n">
        <v>309008</v>
      </c>
      <c r="F12" s="15" t="n">
        <v>316221</v>
      </c>
    </row>
    <row r="13" customFormat="false" ht="15" hidden="false" customHeight="false" outlineLevel="0" collapsed="false">
      <c r="A13" s="5" t="s">
        <v>35</v>
      </c>
      <c r="B13" s="15" t="n">
        <v>148648</v>
      </c>
      <c r="C13" s="15" t="n">
        <v>124652</v>
      </c>
      <c r="D13" s="15" t="n">
        <v>155056</v>
      </c>
      <c r="E13" s="15" t="n">
        <v>164014</v>
      </c>
      <c r="F13" s="15" t="n">
        <v>167160</v>
      </c>
    </row>
    <row r="14" customFormat="false" ht="15" hidden="false" customHeight="false" outlineLevel="0" collapsed="false">
      <c r="A14" s="5" t="s">
        <v>36</v>
      </c>
      <c r="B14" s="15" t="n">
        <v>16947</v>
      </c>
      <c r="C14" s="15" t="n">
        <v>11843</v>
      </c>
      <c r="D14" s="15" t="n">
        <v>10934</v>
      </c>
      <c r="E14" s="15" t="n">
        <v>10695</v>
      </c>
      <c r="F14" s="15" t="n">
        <v>6298</v>
      </c>
    </row>
    <row r="15" customFormat="false" ht="15" hidden="false" customHeight="false" outlineLevel="0" collapsed="false">
      <c r="A15" s="5" t="s">
        <v>37</v>
      </c>
      <c r="B15" s="15" t="n">
        <v>7000</v>
      </c>
      <c r="C15" s="15" t="n">
        <v>0</v>
      </c>
      <c r="D15" s="15" t="n">
        <v>3526</v>
      </c>
      <c r="E15" s="15" t="n">
        <v>0</v>
      </c>
      <c r="F15" s="15" t="n">
        <v>0</v>
      </c>
    </row>
    <row r="16" customFormat="false" ht="15" hidden="false" customHeight="false" outlineLevel="0" collapsed="false">
      <c r="A16" s="5" t="s">
        <v>38</v>
      </c>
      <c r="B16" s="15" t="n">
        <v>-3509</v>
      </c>
      <c r="C16" s="15" t="n">
        <v>0</v>
      </c>
      <c r="D16" s="15" t="n">
        <v>-250</v>
      </c>
      <c r="E16" s="15" t="n">
        <v>0</v>
      </c>
      <c r="F16" s="15" t="n">
        <v>0</v>
      </c>
    </row>
    <row r="17" customFormat="false" ht="15" hidden="false" customHeight="false" outlineLevel="0" collapsed="false">
      <c r="A17" s="5" t="s">
        <v>39</v>
      </c>
      <c r="B17" s="15" t="n">
        <v>2165</v>
      </c>
      <c r="C17" s="15" t="n">
        <v>34573</v>
      </c>
      <c r="D17" s="15" t="n">
        <v>3866</v>
      </c>
      <c r="E17" s="15" t="n">
        <v>9615</v>
      </c>
      <c r="F17" s="15" t="n">
        <v>9860</v>
      </c>
    </row>
    <row r="18" customFormat="false" ht="15" hidden="false" customHeight="false" outlineLevel="0" collapsed="false">
      <c r="A18" s="3" t="s">
        <v>40</v>
      </c>
      <c r="B18" s="15" t="n">
        <v>1488994</v>
      </c>
      <c r="C18" s="15" t="n">
        <v>1261046</v>
      </c>
      <c r="D18" s="15" t="n">
        <v>1190685</v>
      </c>
      <c r="E18" s="15" t="n">
        <v>1307746</v>
      </c>
      <c r="F18" s="15" t="n">
        <v>1316143</v>
      </c>
    </row>
    <row r="19" customFormat="false" ht="15" hidden="false" customHeight="false" outlineLevel="0" collapsed="false">
      <c r="A19" s="3" t="s">
        <v>41</v>
      </c>
      <c r="B19" s="15" t="n">
        <v>774012</v>
      </c>
      <c r="C19" s="15" t="n">
        <v>458469</v>
      </c>
      <c r="D19" s="15" t="n">
        <v>587336</v>
      </c>
      <c r="E19" s="15" t="n">
        <v>654855</v>
      </c>
      <c r="F19" s="15" t="n">
        <v>775194</v>
      </c>
    </row>
    <row r="20" customFormat="false" ht="15" hidden="false" customHeight="false" outlineLevel="0" collapsed="false">
      <c r="A20" s="5" t="s">
        <v>42</v>
      </c>
      <c r="B20" s="15" t="n">
        <v>1246</v>
      </c>
      <c r="C20" s="15" t="n">
        <v>18331</v>
      </c>
      <c r="D20" s="15" t="n">
        <v>50636</v>
      </c>
      <c r="E20" s="15" t="n">
        <v>54997</v>
      </c>
      <c r="F20" s="15" t="n">
        <v>48246</v>
      </c>
    </row>
    <row r="21" customFormat="false" ht="15" hidden="false" customHeight="false" outlineLevel="0" collapsed="false">
      <c r="A21" s="5" t="s">
        <v>43</v>
      </c>
      <c r="B21" s="15" t="n">
        <v>560</v>
      </c>
      <c r="C21" s="15" t="n">
        <v>-13278</v>
      </c>
      <c r="D21" s="15" t="n">
        <v>-16376</v>
      </c>
      <c r="E21" s="15" t="n">
        <v>-2980</v>
      </c>
      <c r="F21" s="15" t="n">
        <v>3079</v>
      </c>
    </row>
    <row r="22" customFormat="false" ht="15" hidden="false" customHeight="false" outlineLevel="0" collapsed="false">
      <c r="A22" s="3" t="s">
        <v>44</v>
      </c>
      <c r="B22" s="15" t="n">
        <v>775818</v>
      </c>
      <c r="C22" s="15" t="n">
        <v>463522</v>
      </c>
      <c r="D22" s="15" t="n">
        <v>621596</v>
      </c>
      <c r="E22" s="15" t="n">
        <v>706872</v>
      </c>
      <c r="F22" s="15" t="n">
        <v>826519</v>
      </c>
    </row>
    <row r="23" customFormat="false" ht="15" hidden="false" customHeight="false" outlineLevel="0" collapsed="false">
      <c r="A23" s="5" t="s">
        <v>45</v>
      </c>
      <c r="B23" s="15" t="n">
        <v>131305</v>
      </c>
      <c r="C23" s="15" t="n">
        <v>98947</v>
      </c>
      <c r="D23" s="15" t="n">
        <v>9453</v>
      </c>
      <c r="E23" s="15" t="n">
        <v>75343</v>
      </c>
      <c r="F23" s="15" t="n">
        <v>115332</v>
      </c>
    </row>
    <row r="24" customFormat="false" ht="15" hidden="false" customHeight="false" outlineLevel="0" collapsed="false">
      <c r="A24" s="3" t="s">
        <v>46</v>
      </c>
      <c r="B24" s="15" t="n">
        <v>644513</v>
      </c>
      <c r="C24" s="15" t="n">
        <v>364575</v>
      </c>
      <c r="D24" s="15" t="n">
        <v>612143</v>
      </c>
      <c r="E24" s="15" t="n">
        <v>631529</v>
      </c>
      <c r="F24" s="15" t="n">
        <v>711187</v>
      </c>
    </row>
    <row r="25" customFormat="false" ht="15" hidden="false" customHeight="false" outlineLevel="0" collapsed="false">
      <c r="A25" s="5" t="s">
        <v>47</v>
      </c>
      <c r="B25" s="16" t="n">
        <v>3.78</v>
      </c>
      <c r="C25" s="16" t="n">
        <v>2.23</v>
      </c>
      <c r="D25" s="16" t="n">
        <v>3.87</v>
      </c>
      <c r="E25" s="16" t="n">
        <v>4.13</v>
      </c>
      <c r="F25" s="16" t="n">
        <v>4.8</v>
      </c>
    </row>
    <row r="26" customFormat="false" ht="15" hidden="false" customHeight="false" outlineLevel="0" collapsed="false">
      <c r="A26" s="5" t="s">
        <v>48</v>
      </c>
      <c r="B26" s="15" t="n">
        <v>170414</v>
      </c>
      <c r="C26" s="15" t="n">
        <v>163704</v>
      </c>
      <c r="D26" s="15" t="n">
        <v>158171</v>
      </c>
      <c r="E26" s="15" t="n">
        <v>152784</v>
      </c>
      <c r="F26" s="15" t="n">
        <v>148208</v>
      </c>
    </row>
    <row r="28" customFormat="false" ht="15" hidden="false" customHeight="false" outlineLevel="0" collapsed="false">
      <c r="A28" s="9" t="s">
        <v>49</v>
      </c>
      <c r="B28" s="10"/>
      <c r="C28" s="10"/>
      <c r="D28" s="10"/>
      <c r="E28" s="10"/>
      <c r="F28" s="10"/>
    </row>
    <row r="29" customFormat="false" ht="15" hidden="false" customHeight="false" outlineLevel="0" collapsed="false">
      <c r="A29" s="5" t="s">
        <v>50</v>
      </c>
      <c r="B29" s="15" t="n">
        <v>1328716</v>
      </c>
      <c r="C29" s="15" t="n">
        <v>1149023</v>
      </c>
      <c r="D29" s="15" t="n">
        <v>1520842</v>
      </c>
      <c r="E29" s="15" t="n">
        <v>1503205</v>
      </c>
      <c r="F29" s="15" t="n">
        <v>1741546</v>
      </c>
    </row>
    <row r="30" customFormat="false" ht="15" hidden="false" customHeight="false" outlineLevel="0" collapsed="false">
      <c r="A30" s="5" t="s">
        <v>51</v>
      </c>
      <c r="B30" s="15" t="n">
        <v>675604</v>
      </c>
      <c r="C30" s="15" t="n">
        <v>630382</v>
      </c>
      <c r="D30" s="15" t="n">
        <v>541715</v>
      </c>
      <c r="E30" s="15" t="n">
        <v>454546</v>
      </c>
      <c r="F30" s="15" t="n">
        <v>505867</v>
      </c>
    </row>
    <row r="31" customFormat="false" ht="15" hidden="false" customHeight="false" outlineLevel="0" collapsed="false">
      <c r="A31" s="5" t="s">
        <v>52</v>
      </c>
      <c r="B31" s="15" t="n">
        <v>933124</v>
      </c>
      <c r="C31" s="15" t="n">
        <v>682893</v>
      </c>
      <c r="D31" s="15" t="n">
        <v>422513</v>
      </c>
      <c r="E31" s="15" t="n">
        <v>503747</v>
      </c>
      <c r="F31" s="15" t="n">
        <v>489948</v>
      </c>
    </row>
    <row r="32" customFormat="false" ht="15" hidden="false" customHeight="false" outlineLevel="0" collapsed="false">
      <c r="A32" s="5" t="s">
        <v>53</v>
      </c>
      <c r="B32" s="15" t="n">
        <v>135478</v>
      </c>
      <c r="C32" s="15" t="n">
        <v>142876</v>
      </c>
      <c r="D32" s="15" t="n">
        <v>146270</v>
      </c>
      <c r="E32" s="15" t="n">
        <v>131211</v>
      </c>
      <c r="F32" s="15" t="n">
        <v>177895</v>
      </c>
    </row>
    <row r="33" customFormat="false" ht="15" hidden="false" customHeight="false" outlineLevel="0" collapsed="false">
      <c r="A33" s="3" t="s">
        <v>54</v>
      </c>
      <c r="B33" s="15" t="n">
        <v>3072922</v>
      </c>
      <c r="C33" s="15" t="n">
        <v>2605174</v>
      </c>
      <c r="D33" s="15" t="n">
        <v>2631340</v>
      </c>
      <c r="E33" s="15" t="n">
        <v>2592709</v>
      </c>
      <c r="F33" s="15" t="n">
        <v>2915256</v>
      </c>
    </row>
    <row r="34" customFormat="false" ht="15" hidden="false" customHeight="false" outlineLevel="0" collapsed="false">
      <c r="A34" s="5" t="s">
        <v>55</v>
      </c>
      <c r="B34" s="15" t="n">
        <v>109807</v>
      </c>
      <c r="C34" s="15" t="n">
        <v>121503</v>
      </c>
      <c r="D34" s="15" t="n">
        <v>116589</v>
      </c>
      <c r="E34" s="15" t="n">
        <v>113858</v>
      </c>
      <c r="F34" s="15" t="n">
        <v>116454</v>
      </c>
    </row>
    <row r="35" customFormat="false" ht="15" hidden="false" customHeight="false" outlineLevel="0" collapsed="false">
      <c r="A35" s="5" t="s">
        <v>56</v>
      </c>
      <c r="B35" s="15" t="n">
        <v>448175</v>
      </c>
      <c r="C35" s="15" t="n">
        <v>454610</v>
      </c>
      <c r="D35" s="15" t="n">
        <v>461978</v>
      </c>
      <c r="E35" s="15" t="n">
        <v>463230</v>
      </c>
      <c r="F35" s="15" t="n">
        <v>465417</v>
      </c>
    </row>
    <row r="36" customFormat="false" ht="15" hidden="false" customHeight="false" outlineLevel="0" collapsed="false">
      <c r="A36" s="5" t="s">
        <v>57</v>
      </c>
      <c r="B36" s="15" t="n">
        <v>83779</v>
      </c>
      <c r="C36" s="15" t="n">
        <v>63173</v>
      </c>
      <c r="D36" s="15" t="n">
        <v>44603</v>
      </c>
      <c r="E36" s="15" t="n">
        <v>24630</v>
      </c>
      <c r="F36" s="15" t="n">
        <v>12386</v>
      </c>
    </row>
    <row r="37" customFormat="false" ht="15" hidden="false" customHeight="false" outlineLevel="0" collapsed="false">
      <c r="A37" s="5" t="s">
        <v>58</v>
      </c>
      <c r="B37" s="15" t="n">
        <v>320722</v>
      </c>
      <c r="C37" s="15" t="n">
        <v>316293</v>
      </c>
      <c r="D37" s="15" t="n">
        <v>350194</v>
      </c>
      <c r="E37" s="15" t="n">
        <v>344077</v>
      </c>
      <c r="F37" s="15" t="n">
        <v>339075</v>
      </c>
    </row>
    <row r="38" customFormat="false" ht="15" hidden="false" customHeight="false" outlineLevel="0" collapsed="false">
      <c r="A38" s="3" t="s">
        <v>59</v>
      </c>
      <c r="B38" s="15" t="n">
        <v>4035405</v>
      </c>
      <c r="C38" s="15" t="n">
        <v>3560753</v>
      </c>
      <c r="D38" s="15" t="n">
        <v>3604704</v>
      </c>
      <c r="E38" s="15" t="n">
        <v>3538504</v>
      </c>
      <c r="F38" s="15" t="n">
        <v>3848588</v>
      </c>
    </row>
    <row r="39" customFormat="false" ht="15" hidden="false" customHeight="false" outlineLevel="0" collapsed="false">
      <c r="A39" s="5" t="s">
        <v>60</v>
      </c>
      <c r="B39" s="15" t="n">
        <v>636306</v>
      </c>
      <c r="C39" s="15" t="n">
        <v>406968</v>
      </c>
      <c r="D39" s="15" t="n">
        <v>448627</v>
      </c>
      <c r="E39" s="15" t="n">
        <v>414586</v>
      </c>
      <c r="F39" s="15" t="n">
        <v>530983</v>
      </c>
    </row>
    <row r="40" customFormat="false" ht="15" hidden="false" customHeight="false" outlineLevel="0" collapsed="false">
      <c r="A40" s="5" t="s">
        <v>61</v>
      </c>
      <c r="B40" s="15" t="n">
        <v>784848</v>
      </c>
      <c r="C40" s="15" t="n">
        <v>643139</v>
      </c>
      <c r="D40" s="15" t="n">
        <v>637262</v>
      </c>
      <c r="E40" s="15" t="n">
        <v>686503</v>
      </c>
      <c r="F40" s="15" t="n">
        <v>781990</v>
      </c>
    </row>
    <row r="41" customFormat="false" ht="15" hidden="false" customHeight="false" outlineLevel="0" collapsed="false">
      <c r="A41" s="3" t="s">
        <v>62</v>
      </c>
      <c r="B41" s="15" t="n">
        <v>1421154</v>
      </c>
      <c r="C41" s="15" t="n">
        <v>1050107</v>
      </c>
      <c r="D41" s="15" t="n">
        <v>1085889</v>
      </c>
      <c r="E41" s="15" t="n">
        <v>1101089</v>
      </c>
      <c r="F41" s="15" t="n">
        <v>1312973</v>
      </c>
    </row>
    <row r="42" customFormat="false" ht="15" hidden="false" customHeight="false" outlineLevel="0" collapsed="false">
      <c r="A42" s="5" t="s">
        <v>63</v>
      </c>
      <c r="B42" s="15" t="n">
        <v>83380</v>
      </c>
      <c r="C42" s="15" t="n">
        <v>106391</v>
      </c>
      <c r="D42" s="15" t="n">
        <v>112572</v>
      </c>
      <c r="E42" s="15" t="n">
        <v>88483</v>
      </c>
      <c r="F42" s="15" t="n">
        <v>86322</v>
      </c>
    </row>
    <row r="43" customFormat="false" ht="15" hidden="false" customHeight="false" outlineLevel="0" collapsed="false">
      <c r="A43" s="5" t="s">
        <v>64</v>
      </c>
      <c r="B43" s="15" t="n">
        <v>132133</v>
      </c>
      <c r="C43" s="15" t="n">
        <v>146695</v>
      </c>
      <c r="D43" s="15" t="n">
        <v>172590</v>
      </c>
      <c r="E43" s="15" t="n">
        <v>221512</v>
      </c>
      <c r="F43" s="15" t="n">
        <v>237899</v>
      </c>
    </row>
    <row r="44" customFormat="false" ht="15" hidden="false" customHeight="false" outlineLevel="0" collapsed="false">
      <c r="A44" s="3" t="s">
        <v>65</v>
      </c>
      <c r="B44" s="15" t="n">
        <v>1636667</v>
      </c>
      <c r="C44" s="15" t="n">
        <v>1303193</v>
      </c>
      <c r="D44" s="15" t="n">
        <v>1371051</v>
      </c>
      <c r="E44" s="15" t="n">
        <v>1411084</v>
      </c>
      <c r="F44" s="15" t="n">
        <v>1637194</v>
      </c>
    </row>
    <row r="45" customFormat="false" ht="15" hidden="false" customHeight="false" outlineLevel="0" collapsed="false">
      <c r="A45" s="3" t="s">
        <v>66</v>
      </c>
      <c r="B45" s="15" t="n">
        <v>2398738</v>
      </c>
      <c r="C45" s="15" t="n">
        <v>2257560</v>
      </c>
      <c r="D45" s="15" t="n">
        <v>2233653</v>
      </c>
      <c r="E45" s="15" t="n">
        <v>2127420</v>
      </c>
      <c r="F45" s="15" t="n">
        <v>2211394</v>
      </c>
    </row>
    <row r="46" customFormat="false" ht="15" hidden="false" customHeight="false" outlineLevel="0" collapsed="false">
      <c r="A46" s="3" t="s">
        <v>67</v>
      </c>
      <c r="B46" s="15" t="n">
        <v>4035405</v>
      </c>
      <c r="C46" s="15" t="n">
        <v>3560753</v>
      </c>
      <c r="D46" s="15" t="n">
        <v>3604704</v>
      </c>
      <c r="E46" s="15" t="n">
        <v>3538504</v>
      </c>
      <c r="F46" s="15" t="n">
        <v>3848588</v>
      </c>
    </row>
    <row r="47" customFormat="false" ht="15" hidden="false" customHeight="false" outlineLevel="0" collapsed="false">
      <c r="A47" s="5" t="s">
        <v>68</v>
      </c>
      <c r="B47" s="15" t="n">
        <v>173106</v>
      </c>
      <c r="C47" s="15" t="n">
        <v>173106</v>
      </c>
      <c r="D47" s="15" t="n">
        <v>173106</v>
      </c>
      <c r="E47" s="15" t="n">
        <v>168994</v>
      </c>
      <c r="F47" s="15" t="n">
        <v>160784</v>
      </c>
    </row>
    <row r="48" customFormat="false" ht="15" hidden="false" customHeight="false" outlineLevel="0" collapsed="false">
      <c r="A48" s="5" t="s">
        <v>69</v>
      </c>
      <c r="B48" s="15" t="n">
        <v>7855</v>
      </c>
      <c r="C48" s="15" t="n">
        <v>13763</v>
      </c>
      <c r="D48" s="15" t="n">
        <v>19243</v>
      </c>
      <c r="E48" s="15" t="n">
        <v>20485</v>
      </c>
      <c r="F48" s="15" t="n">
        <v>17282</v>
      </c>
    </row>
    <row r="50" customFormat="false" ht="15" hidden="false" customHeight="false" outlineLevel="0" collapsed="false">
      <c r="A50" s="9" t="s">
        <v>70</v>
      </c>
      <c r="B50" s="10"/>
      <c r="C50" s="10"/>
      <c r="D50" s="10"/>
      <c r="E50" s="10"/>
      <c r="F50" s="10"/>
    </row>
    <row r="51" customFormat="false" ht="15" hidden="false" customHeight="false" outlineLevel="0" collapsed="false">
      <c r="A51" s="5" t="s">
        <v>71</v>
      </c>
      <c r="B51" s="15" t="n">
        <v>644513</v>
      </c>
      <c r="C51" s="15" t="n">
        <v>364575</v>
      </c>
      <c r="D51" s="15" t="n">
        <v>612143</v>
      </c>
      <c r="E51" s="15" t="n">
        <v>631529</v>
      </c>
      <c r="F51" s="15" t="n">
        <v>711187</v>
      </c>
    </row>
    <row r="52" customFormat="false" ht="15" hidden="false" customHeight="false" outlineLevel="0" collapsed="false">
      <c r="A52" s="5" t="s">
        <v>72</v>
      </c>
      <c r="B52" s="15" t="n">
        <v>88361</v>
      </c>
      <c r="C52" s="15" t="n">
        <v>76309</v>
      </c>
      <c r="D52" s="15" t="n">
        <v>63065</v>
      </c>
      <c r="E52" s="15" t="n">
        <v>59664</v>
      </c>
      <c r="F52" s="15" t="n">
        <v>64139</v>
      </c>
    </row>
    <row r="53" customFormat="false" ht="15" hidden="false" customHeight="false" outlineLevel="0" collapsed="false">
      <c r="A53" s="5" t="s">
        <v>73</v>
      </c>
      <c r="B53" s="15" t="n">
        <v>30179</v>
      </c>
      <c r="C53" s="15" t="n">
        <v>24407</v>
      </c>
      <c r="D53" s="15" t="n">
        <v>21681</v>
      </c>
      <c r="E53" s="15" t="n">
        <v>20098</v>
      </c>
      <c r="F53" s="15" t="n">
        <v>13315</v>
      </c>
    </row>
    <row r="54" customFormat="false" ht="15" hidden="false" customHeight="false" outlineLevel="0" collapsed="false">
      <c r="A54" s="5" t="s">
        <v>74</v>
      </c>
      <c r="B54" s="15" t="n">
        <v>93479</v>
      </c>
      <c r="C54" s="15" t="n">
        <v>70782</v>
      </c>
      <c r="D54" s="15" t="n">
        <v>82889</v>
      </c>
      <c r="E54" s="15" t="n">
        <v>89913</v>
      </c>
      <c r="F54" s="15" t="n">
        <v>112392</v>
      </c>
    </row>
    <row r="55" customFormat="false" ht="15" hidden="false" customHeight="false" outlineLevel="0" collapsed="false">
      <c r="A55" s="5" t="s">
        <v>75</v>
      </c>
      <c r="B55" s="15" t="n">
        <v>298318</v>
      </c>
      <c r="C55" s="15" t="n">
        <v>534010</v>
      </c>
      <c r="D55" s="15" t="n">
        <v>1145116</v>
      </c>
      <c r="E55" s="15" t="n">
        <v>842557</v>
      </c>
      <c r="F55" s="15" t="n">
        <v>1037207</v>
      </c>
    </row>
    <row r="56" customFormat="false" ht="15" hidden="false" customHeight="false" outlineLevel="0" collapsed="false">
      <c r="A56" s="5" t="s">
        <v>76</v>
      </c>
      <c r="B56" s="15" t="n">
        <v>89152</v>
      </c>
      <c r="C56" s="15" t="n">
        <v>92353</v>
      </c>
      <c r="D56" s="15" t="n">
        <v>55897</v>
      </c>
      <c r="E56" s="15" t="n">
        <v>56128</v>
      </c>
      <c r="F56" s="15" t="n">
        <v>61562</v>
      </c>
    </row>
    <row r="57" customFormat="false" ht="15" hidden="false" customHeight="false" outlineLevel="0" collapsed="false">
      <c r="A57" s="5" t="s">
        <v>77</v>
      </c>
      <c r="B57" s="15" t="n">
        <v>412022</v>
      </c>
      <c r="C57" s="15" t="n">
        <v>418346</v>
      </c>
      <c r="D57" s="15" t="n">
        <v>504203</v>
      </c>
      <c r="E57" s="15" t="n">
        <v>588838</v>
      </c>
      <c r="F57" s="15" t="n">
        <v>534939</v>
      </c>
    </row>
    <row r="58" customFormat="false" ht="15" hidden="false" customHeight="false" outlineLevel="0" collapsed="false">
      <c r="A58" s="5" t="s">
        <v>78</v>
      </c>
      <c r="B58" s="15" t="n">
        <v>159410</v>
      </c>
      <c r="C58" s="15" t="n">
        <v>158680</v>
      </c>
      <c r="D58" s="15" t="n">
        <v>182305</v>
      </c>
      <c r="E58" s="15" t="n">
        <v>207853</v>
      </c>
      <c r="F58" s="15" t="n">
        <v>233059</v>
      </c>
    </row>
    <row r="60" customFormat="false" ht="15" hidden="false" customHeight="false" outlineLevel="0" collapsed="false">
      <c r="A60" s="9" t="s">
        <v>79</v>
      </c>
      <c r="B60" s="10"/>
      <c r="C60" s="10"/>
      <c r="D60" s="10"/>
      <c r="E60" s="10"/>
      <c r="F60" s="10"/>
    </row>
    <row r="61" customFormat="false" ht="15" hidden="false" customHeight="false" outlineLevel="0" collapsed="false">
      <c r="A61" s="5" t="s">
        <v>80</v>
      </c>
      <c r="C61" s="15" t="n">
        <v>1288313</v>
      </c>
      <c r="D61" s="15" t="n">
        <v>1231063</v>
      </c>
      <c r="E61" s="15" t="n">
        <v>1338467</v>
      </c>
      <c r="F61" s="15" t="n">
        <v>1414206</v>
      </c>
    </row>
    <row r="62" customFormat="false" ht="15" hidden="false" customHeight="false" outlineLevel="0" collapsed="false">
      <c r="A62" s="5" t="s">
        <v>81</v>
      </c>
      <c r="C62" s="15" t="n">
        <v>836432</v>
      </c>
      <c r="D62" s="15" t="n">
        <v>821441</v>
      </c>
      <c r="E62" s="15" t="n">
        <v>882643</v>
      </c>
      <c r="F62" s="15" t="n">
        <v>937551</v>
      </c>
    </row>
    <row r="63" customFormat="false" ht="15" hidden="false" customHeight="false" outlineLevel="0" collapsed="false">
      <c r="A63" s="5" t="s">
        <v>82</v>
      </c>
      <c r="C63" s="15" t="n">
        <v>728357</v>
      </c>
      <c r="D63" s="15" t="n">
        <v>742987</v>
      </c>
      <c r="E63" s="15" t="n">
        <v>788784</v>
      </c>
      <c r="F63" s="15" t="n">
        <v>858904</v>
      </c>
    </row>
    <row r="64" customFormat="false" ht="15" hidden="false" customHeight="false" outlineLevel="0" collapsed="false">
      <c r="A64" s="5" t="s">
        <v>83</v>
      </c>
      <c r="C64" s="15" t="n">
        <v>677923</v>
      </c>
      <c r="D64" s="15" t="n">
        <v>609361</v>
      </c>
      <c r="E64" s="15" t="n">
        <v>626000</v>
      </c>
      <c r="F64" s="15" t="n">
        <v>689040</v>
      </c>
    </row>
    <row r="65" customFormat="false" ht="15" hidden="false" customHeight="false" outlineLevel="0" collapsed="false">
      <c r="A65" s="5" t="s">
        <v>84</v>
      </c>
      <c r="C65" s="15" t="n">
        <v>378688</v>
      </c>
      <c r="D65" s="15" t="n">
        <v>325225</v>
      </c>
      <c r="E65" s="15" t="n">
        <v>315520</v>
      </c>
      <c r="F65" s="15" t="n">
        <v>326172</v>
      </c>
    </row>
    <row r="66" customFormat="false" ht="15" hidden="false" customHeight="false" outlineLevel="0" collapsed="false">
      <c r="A66" s="5" t="s">
        <v>85</v>
      </c>
      <c r="C66" s="15" t="n">
        <v>254374</v>
      </c>
      <c r="D66" s="15" t="n">
        <v>254060</v>
      </c>
      <c r="E66" s="15" t="n">
        <v>299540</v>
      </c>
      <c r="F66" s="15" t="n">
        <v>336189</v>
      </c>
    </row>
    <row r="67" customFormat="false" ht="15" hidden="false" customHeight="false" outlineLevel="0" collapsed="false">
      <c r="A67" s="5" t="s">
        <v>86</v>
      </c>
      <c r="C67" s="15" t="n">
        <v>176576</v>
      </c>
      <c r="D67" s="15" t="n">
        <v>168478</v>
      </c>
      <c r="E67" s="15" t="n">
        <v>179710</v>
      </c>
      <c r="F67" s="15" t="n">
        <v>179825</v>
      </c>
    </row>
    <row r="68" customFormat="false" ht="15" hidden="false" customHeight="false" outlineLevel="0" collapsed="false">
      <c r="A68" s="5" t="s">
        <v>87</v>
      </c>
      <c r="C68" s="15" t="n">
        <v>198155</v>
      </c>
      <c r="D68" s="15" t="n">
        <v>145852</v>
      </c>
      <c r="E68" s="15" t="n">
        <v>124236</v>
      </c>
      <c r="F68" s="15" t="n">
        <v>98874</v>
      </c>
    </row>
    <row r="70" customFormat="false" ht="15" hidden="false" customHeight="false" outlineLevel="0" collapsed="false">
      <c r="A70" s="2" t="s">
        <v>88</v>
      </c>
    </row>
    <row r="71" customFormat="false" ht="15" hidden="false" customHeight="false" outlineLevel="0" collapsed="false">
      <c r="A71" s="2" t="s">
        <v>89</v>
      </c>
    </row>
    <row r="72" customFormat="false" ht="15" hidden="false" customHeight="false" outlineLevel="0" collapsed="false">
      <c r="A72" s="2" t="s">
        <v>90</v>
      </c>
    </row>
    <row r="73" customFormat="false" ht="15" hidden="false" customHeight="false" outlineLevel="0" collapsed="false">
      <c r="A73" s="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6" min="4" style="0" width="3"/>
    <col collapsed="false" customWidth="true" hidden="false" outlineLevel="0" max="11" min="7" style="0" width="12"/>
  </cols>
  <sheetData>
    <row r="1" customFormat="false" ht="17.35" hidden="false" customHeight="false" outlineLevel="0" collapsed="false">
      <c r="A1" s="1" t="s">
        <v>92</v>
      </c>
    </row>
    <row r="3" customFormat="false" ht="15" hidden="false" customHeight="false" outlineLevel="0" collapsed="false">
      <c r="A3" s="3" t="s">
        <v>93</v>
      </c>
      <c r="B3" s="17" t="n">
        <v>2</v>
      </c>
    </row>
    <row r="4" customFormat="false" ht="15" hidden="false" customHeight="false" outlineLevel="0" collapsed="false">
      <c r="A4" s="5" t="s">
        <v>94</v>
      </c>
      <c r="B4" s="3" t="str">
        <f aca="false">INDEX(A7:A9,B3)</f>
        <v>Base</v>
      </c>
    </row>
    <row r="6" customFormat="false" ht="15" hidden="false" customHeight="false" outlineLevel="0" collapsed="false">
      <c r="A6" s="11" t="s">
        <v>95</v>
      </c>
      <c r="B6" s="12" t="s">
        <v>96</v>
      </c>
      <c r="C6" s="12" t="s">
        <v>97</v>
      </c>
    </row>
    <row r="7" customFormat="false" ht="15" hidden="false" customHeight="false" outlineLevel="0" collapsed="false">
      <c r="A7" s="5" t="s">
        <v>98</v>
      </c>
      <c r="B7" s="18" t="n">
        <v>-0.02</v>
      </c>
      <c r="C7" s="18" t="n">
        <v>-0.01</v>
      </c>
    </row>
    <row r="8" customFormat="false" ht="15" hidden="false" customHeight="false" outlineLevel="0" collapsed="false">
      <c r="A8" s="5" t="s">
        <v>99</v>
      </c>
      <c r="B8" s="18" t="n">
        <v>0</v>
      </c>
      <c r="C8" s="18" t="n">
        <v>0</v>
      </c>
    </row>
    <row r="9" customFormat="false" ht="15" hidden="false" customHeight="false" outlineLevel="0" collapsed="false">
      <c r="A9" s="5" t="s">
        <v>100</v>
      </c>
      <c r="B9" s="18" t="n">
        <v>0.02</v>
      </c>
      <c r="C9" s="18" t="n">
        <v>0.01</v>
      </c>
    </row>
    <row r="11" customFormat="false" ht="15" hidden="false" customHeight="false" outlineLevel="0" collapsed="false">
      <c r="A11" s="5" t="s">
        <v>101</v>
      </c>
      <c r="B11" s="19" t="n">
        <f aca="false">INDEX(B7:B9,B3)</f>
        <v>0</v>
      </c>
    </row>
    <row r="12" customFormat="false" ht="15" hidden="false" customHeight="false" outlineLevel="0" collapsed="false">
      <c r="A12" s="5" t="s">
        <v>102</v>
      </c>
      <c r="B12" s="19" t="n">
        <f aca="false">INDEX(C7:C9,B3)</f>
        <v>0</v>
      </c>
    </row>
    <row r="13" customFormat="false" ht="15" hidden="false" customHeight="false" outlineLevel="0" collapsed="false">
      <c r="A13" s="9" t="s">
        <v>103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customFormat="false" ht="15" hidden="false" customHeight="false" outlineLevel="0" collapsed="false">
      <c r="A14" s="5" t="s">
        <v>104</v>
      </c>
      <c r="B14" s="20" t="n">
        <v>46312</v>
      </c>
      <c r="C14" s="2" t="s">
        <v>105</v>
      </c>
    </row>
    <row r="15" customFormat="false" ht="15" hidden="false" customHeight="false" outlineLevel="0" collapsed="false">
      <c r="A15" s="5" t="s">
        <v>106</v>
      </c>
      <c r="B15" s="14" t="n">
        <v>104.41</v>
      </c>
      <c r="C15" s="2" t="s">
        <v>107</v>
      </c>
    </row>
    <row r="16" customFormat="false" ht="15" hidden="false" customHeight="false" outlineLevel="0" collapsed="false">
      <c r="A16" s="5" t="s">
        <v>108</v>
      </c>
      <c r="B16" s="21" t="n">
        <f aca="false">(Historicals!F47-Historicals!F48)/1000</f>
        <v>143.502</v>
      </c>
      <c r="C16" s="2" t="s">
        <v>109</v>
      </c>
    </row>
    <row r="17" customFormat="false" ht="15" hidden="false" customHeight="false" outlineLevel="0" collapsed="false">
      <c r="A17" s="5" t="s">
        <v>110</v>
      </c>
      <c r="B17" s="22" t="n">
        <f aca="false">Historicals!F29/1000</f>
        <v>1741.546</v>
      </c>
      <c r="C17" s="2" t="s">
        <v>111</v>
      </c>
    </row>
    <row r="18" customFormat="false" ht="15" hidden="false" customHeight="false" outlineLevel="0" collapsed="false">
      <c r="A18" s="5" t="s">
        <v>112</v>
      </c>
      <c r="B18" s="23" t="n">
        <v>0</v>
      </c>
      <c r="C18" s="2" t="s">
        <v>113</v>
      </c>
    </row>
    <row r="20" customFormat="false" ht="15" hidden="false" customHeight="false" outlineLevel="0" collapsed="false">
      <c r="A20" s="9" t="s">
        <v>114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 customFormat="false" ht="15" hidden="false" customHeight="false" outlineLevel="0" collapsed="false">
      <c r="A21" s="5" t="s">
        <v>115</v>
      </c>
      <c r="B21" s="18" t="n">
        <v>0.051</v>
      </c>
      <c r="C21" s="2" t="s">
        <v>116</v>
      </c>
    </row>
    <row r="22" customFormat="false" ht="15" hidden="false" customHeight="false" outlineLevel="0" collapsed="false">
      <c r="A22" s="5" t="s">
        <v>117</v>
      </c>
      <c r="B22" s="16" t="n">
        <v>0.59</v>
      </c>
      <c r="C22" s="2" t="s">
        <v>118</v>
      </c>
    </row>
    <row r="23" customFormat="false" ht="15" hidden="false" customHeight="false" outlineLevel="0" collapsed="false">
      <c r="A23" s="5" t="s">
        <v>119</v>
      </c>
      <c r="B23" s="24" t="n">
        <f aca="false">0.67*B22+0.33</f>
        <v>0.7253</v>
      </c>
      <c r="C23" s="2" t="s">
        <v>120</v>
      </c>
    </row>
    <row r="24" customFormat="false" ht="15" hidden="false" customHeight="false" outlineLevel="0" collapsed="false">
      <c r="A24" s="5" t="s">
        <v>121</v>
      </c>
      <c r="B24" s="18" t="n">
        <v>0.045</v>
      </c>
      <c r="C24" s="2" t="s">
        <v>122</v>
      </c>
    </row>
    <row r="25" customFormat="false" ht="15" hidden="false" customHeight="false" outlineLevel="0" collapsed="false">
      <c r="A25" s="3" t="s">
        <v>123</v>
      </c>
      <c r="B25" s="19" t="n">
        <f aca="false">B21+B23*B24</f>
        <v>0.0836385</v>
      </c>
      <c r="C25" s="2" t="s">
        <v>124</v>
      </c>
    </row>
    <row r="26" customFormat="false" ht="15" hidden="false" customHeight="false" outlineLevel="0" collapsed="false">
      <c r="A26" s="5" t="s">
        <v>125</v>
      </c>
      <c r="B26" s="18" t="n">
        <v>0.06</v>
      </c>
      <c r="C26" s="2" t="s">
        <v>126</v>
      </c>
    </row>
    <row r="27" customFormat="false" ht="15" hidden="false" customHeight="false" outlineLevel="0" collapsed="false">
      <c r="A27" s="5" t="s">
        <v>127</v>
      </c>
      <c r="B27" s="18" t="n">
        <v>0.15</v>
      </c>
      <c r="C27" s="2"/>
    </row>
    <row r="28" customFormat="false" ht="15" hidden="false" customHeight="false" outlineLevel="0" collapsed="false">
      <c r="A28" s="5" t="s">
        <v>128</v>
      </c>
      <c r="B28" s="18" t="n">
        <v>0</v>
      </c>
      <c r="C28" s="2" t="s">
        <v>129</v>
      </c>
    </row>
    <row r="29" customFormat="false" ht="15" hidden="false" customHeight="false" outlineLevel="0" collapsed="false">
      <c r="A29" s="3" t="s">
        <v>7</v>
      </c>
      <c r="B29" s="25" t="n">
        <f aca="false">(1-B28)*B25+B28*B26*(1-B27)</f>
        <v>0.0836385</v>
      </c>
      <c r="C29" s="2"/>
    </row>
    <row r="30" customFormat="false" ht="15" hidden="false" customHeight="false" outlineLevel="0" collapsed="false">
      <c r="A30" s="9" t="s">
        <v>130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customFormat="false" ht="15" hidden="false" customHeight="false" outlineLevel="0" collapsed="false">
      <c r="A31" s="5" t="s">
        <v>131</v>
      </c>
      <c r="B31" s="18" t="n">
        <v>0.025</v>
      </c>
      <c r="C31" s="2" t="s">
        <v>132</v>
      </c>
    </row>
    <row r="32" customFormat="false" ht="15" hidden="false" customHeight="false" outlineLevel="0" collapsed="false">
      <c r="A32" s="5" t="s">
        <v>133</v>
      </c>
      <c r="B32" s="26" t="n">
        <v>14</v>
      </c>
      <c r="C32" s="2" t="s">
        <v>134</v>
      </c>
    </row>
    <row r="34" customFormat="false" ht="15" hidden="false" customHeight="false" outlineLevel="0" collapsed="false">
      <c r="A34" s="9" t="s">
        <v>135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15" hidden="false" customHeight="false" outlineLevel="0" collapsed="false">
      <c r="A35" s="11" t="s">
        <v>136</v>
      </c>
      <c r="B35" s="12"/>
      <c r="C35" s="12"/>
      <c r="D35" s="12"/>
      <c r="E35" s="12"/>
      <c r="F35" s="12"/>
      <c r="G35" s="12" t="s">
        <v>137</v>
      </c>
      <c r="H35" s="12" t="s">
        <v>138</v>
      </c>
      <c r="I35" s="12" t="s">
        <v>139</v>
      </c>
      <c r="J35" s="12" t="s">
        <v>140</v>
      </c>
      <c r="K35" s="12" t="s">
        <v>141</v>
      </c>
    </row>
    <row r="36" customFormat="false" ht="15" hidden="false" customHeight="false" outlineLevel="0" collapsed="false">
      <c r="A36" s="5" t="s">
        <v>142</v>
      </c>
      <c r="G36" s="18" t="n">
        <v>0.05</v>
      </c>
      <c r="H36" s="18" t="n">
        <v>0.05</v>
      </c>
      <c r="I36" s="18" t="n">
        <v>0.04</v>
      </c>
      <c r="J36" s="18" t="n">
        <v>0.04</v>
      </c>
      <c r="K36" s="18" t="n">
        <v>0.03</v>
      </c>
    </row>
    <row r="37" customFormat="false" ht="15" hidden="false" customHeight="false" outlineLevel="0" collapsed="false">
      <c r="A37" s="5" t="s">
        <v>143</v>
      </c>
      <c r="G37" s="18" t="n">
        <v>0.04</v>
      </c>
      <c r="H37" s="18" t="n">
        <v>0.04</v>
      </c>
      <c r="I37" s="18" t="n">
        <v>0.035</v>
      </c>
      <c r="J37" s="18" t="n">
        <v>0.03</v>
      </c>
      <c r="K37" s="18" t="n">
        <v>0.03</v>
      </c>
    </row>
    <row r="38" customFormat="false" ht="15" hidden="false" customHeight="false" outlineLevel="0" collapsed="false">
      <c r="A38" s="5" t="s">
        <v>144</v>
      </c>
      <c r="G38" s="18" t="n">
        <v>0.06</v>
      </c>
      <c r="H38" s="18" t="n">
        <v>0.05</v>
      </c>
      <c r="I38" s="18" t="n">
        <v>0.04</v>
      </c>
      <c r="J38" s="18" t="n">
        <v>0.04</v>
      </c>
      <c r="K38" s="18" t="n">
        <v>0.03</v>
      </c>
    </row>
    <row r="39" customFormat="false" ht="15" hidden="false" customHeight="false" outlineLevel="0" collapsed="false">
      <c r="A39" s="5" t="s">
        <v>145</v>
      </c>
      <c r="G39" s="18" t="n">
        <v>0.07</v>
      </c>
      <c r="H39" s="18" t="n">
        <v>0.06</v>
      </c>
      <c r="I39" s="18" t="n">
        <v>0.05</v>
      </c>
      <c r="J39" s="18" t="n">
        <v>0.04</v>
      </c>
      <c r="K39" s="18" t="n">
        <v>0.03</v>
      </c>
    </row>
    <row r="40" customFormat="false" ht="15" hidden="false" customHeight="false" outlineLevel="0" collapsed="false">
      <c r="A40" s="5" t="s">
        <v>146</v>
      </c>
      <c r="G40" s="18" t="n">
        <v>0.03</v>
      </c>
      <c r="H40" s="18" t="n">
        <v>0.03</v>
      </c>
      <c r="I40" s="18" t="n">
        <v>0.03</v>
      </c>
      <c r="J40" s="18" t="n">
        <v>0.025</v>
      </c>
      <c r="K40" s="18" t="n">
        <v>0.025</v>
      </c>
    </row>
    <row r="41" customFormat="false" ht="15" hidden="false" customHeight="false" outlineLevel="0" collapsed="false">
      <c r="A41" s="5" t="s">
        <v>147</v>
      </c>
      <c r="G41" s="18" t="n">
        <v>0.08</v>
      </c>
      <c r="H41" s="18" t="n">
        <v>0.06</v>
      </c>
      <c r="I41" s="18" t="n">
        <v>0.05</v>
      </c>
      <c r="J41" s="18" t="n">
        <v>0.04</v>
      </c>
      <c r="K41" s="18" t="n">
        <v>0.03</v>
      </c>
    </row>
    <row r="42" customFormat="false" ht="15" hidden="false" customHeight="false" outlineLevel="0" collapsed="false">
      <c r="A42" s="5" t="s">
        <v>148</v>
      </c>
      <c r="G42" s="18" t="n">
        <v>0.02</v>
      </c>
      <c r="H42" s="18" t="n">
        <v>0.02</v>
      </c>
      <c r="I42" s="18" t="n">
        <v>0.02</v>
      </c>
      <c r="J42" s="18" t="n">
        <v>0.02</v>
      </c>
      <c r="K42" s="18" t="n">
        <v>0.02</v>
      </c>
    </row>
    <row r="43" customFormat="false" ht="15" hidden="false" customHeight="false" outlineLevel="0" collapsed="false">
      <c r="A43" s="5" t="s">
        <v>149</v>
      </c>
      <c r="G43" s="18" t="n">
        <v>-0.1</v>
      </c>
      <c r="H43" s="18" t="n">
        <v>-0.05</v>
      </c>
      <c r="I43" s="18" t="n">
        <v>0</v>
      </c>
      <c r="J43" s="18" t="n">
        <v>0</v>
      </c>
      <c r="K43" s="18" t="n">
        <v>0</v>
      </c>
    </row>
    <row r="44" customFormat="false" ht="15" hidden="false" customHeight="false" outlineLevel="0" collapsed="false">
      <c r="A44" s="5" t="s">
        <v>150</v>
      </c>
      <c r="G44" s="18" t="n">
        <v>0.432</v>
      </c>
      <c r="H44" s="18" t="n">
        <v>0.433</v>
      </c>
      <c r="I44" s="18" t="n">
        <v>0.434</v>
      </c>
      <c r="J44" s="18" t="n">
        <v>0.434</v>
      </c>
      <c r="K44" s="18" t="n">
        <v>0.434</v>
      </c>
    </row>
    <row r="45" customFormat="false" ht="15" hidden="false" customHeight="false" outlineLevel="0" collapsed="false">
      <c r="A45" s="5" t="s">
        <v>151</v>
      </c>
      <c r="G45" s="18" t="n">
        <v>0.168</v>
      </c>
      <c r="H45" s="18" t="n">
        <v>0.167</v>
      </c>
      <c r="I45" s="18" t="n">
        <v>0.166</v>
      </c>
      <c r="J45" s="18" t="n">
        <v>0.165</v>
      </c>
      <c r="K45" s="18" t="n">
        <v>0.165</v>
      </c>
    </row>
    <row r="46" customFormat="false" ht="15" hidden="false" customHeight="false" outlineLevel="0" collapsed="false">
      <c r="A46" s="5" t="s">
        <v>152</v>
      </c>
      <c r="G46" s="18" t="n">
        <v>0.065</v>
      </c>
      <c r="H46" s="18" t="n">
        <v>0.065</v>
      </c>
      <c r="I46" s="18" t="n">
        <v>0.065</v>
      </c>
      <c r="J46" s="18" t="n">
        <v>0.065</v>
      </c>
      <c r="K46" s="18" t="n">
        <v>0.065</v>
      </c>
    </row>
    <row r="47" customFormat="false" ht="15" hidden="false" customHeight="false" outlineLevel="0" collapsed="false">
      <c r="A47" s="5" t="s">
        <v>153</v>
      </c>
      <c r="G47" s="18" t="n">
        <v>0.034</v>
      </c>
      <c r="H47" s="18" t="n">
        <v>0.034</v>
      </c>
      <c r="I47" s="18" t="n">
        <v>0.034</v>
      </c>
      <c r="J47" s="18" t="n">
        <v>0.034</v>
      </c>
      <c r="K47" s="18" t="n">
        <v>0.034</v>
      </c>
    </row>
    <row r="48" customFormat="false" ht="15" hidden="false" customHeight="false" outlineLevel="0" collapsed="false">
      <c r="A48" s="5" t="s">
        <v>154</v>
      </c>
      <c r="G48" s="18" t="n">
        <v>0.15</v>
      </c>
      <c r="H48" s="18" t="n">
        <v>0.15</v>
      </c>
      <c r="I48" s="18" t="n">
        <v>0.15</v>
      </c>
      <c r="J48" s="18" t="n">
        <v>0.15</v>
      </c>
      <c r="K48" s="18" t="n">
        <v>0.15</v>
      </c>
    </row>
    <row r="49" customFormat="false" ht="15" hidden="false" customHeight="false" outlineLevel="0" collapsed="false">
      <c r="A49" s="5" t="s">
        <v>155</v>
      </c>
      <c r="G49" s="18" t="n">
        <v>0.013</v>
      </c>
      <c r="H49" s="18" t="n">
        <v>0.013</v>
      </c>
      <c r="I49" s="18" t="n">
        <v>0.013</v>
      </c>
      <c r="J49" s="18" t="n">
        <v>0.013</v>
      </c>
      <c r="K49" s="18" t="n">
        <v>0.013</v>
      </c>
    </row>
    <row r="50" customFormat="false" ht="15" hidden="false" customHeight="false" outlineLevel="0" collapsed="false">
      <c r="A50" s="5" t="s">
        <v>156</v>
      </c>
      <c r="G50" s="18" t="n">
        <v>0.013</v>
      </c>
      <c r="H50" s="18" t="n">
        <v>0.013</v>
      </c>
      <c r="I50" s="18" t="n">
        <v>0.013</v>
      </c>
      <c r="J50" s="18" t="n">
        <v>0.013</v>
      </c>
      <c r="K50" s="18" t="n">
        <v>0.013</v>
      </c>
    </row>
    <row r="51" customFormat="false" ht="15" hidden="false" customHeight="false" outlineLevel="0" collapsed="false">
      <c r="A51" s="5" t="s">
        <v>157</v>
      </c>
      <c r="G51" s="18" t="n">
        <v>0.05</v>
      </c>
      <c r="H51" s="18" t="n">
        <v>0.05</v>
      </c>
      <c r="I51" s="18" t="n">
        <v>0.05</v>
      </c>
      <c r="J51" s="18" t="n">
        <v>0.05</v>
      </c>
      <c r="K51" s="18" t="n">
        <v>0.05</v>
      </c>
    </row>
    <row r="53" customFormat="false" ht="15" hidden="false" customHeight="false" outlineLevel="0" collapsed="false">
      <c r="A53" s="2" t="s">
        <v>158</v>
      </c>
    </row>
    <row r="54" customFormat="false" ht="15" hidden="false" customHeight="false" outlineLevel="0" collapsed="false">
      <c r="A54" s="2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11" min="2" style="0" width="11.5"/>
  </cols>
  <sheetData>
    <row r="1" customFormat="false" ht="17.35" hidden="false" customHeight="false" outlineLevel="0" collapsed="false">
      <c r="A1" s="1" t="s">
        <v>160</v>
      </c>
    </row>
    <row r="2" customFormat="false" ht="15" hidden="false" customHeight="false" outlineLevel="0" collapsed="false">
      <c r="A2" s="2" t="str">
        <f aca="false">"Scenario: "&amp;Inputs!B4&amp;"   |   WACC "&amp;TEXT(Inputs!B29,"0.0%")&amp;"   |   Terminal growth "&amp;TEXT(Inputs!B31,"0.0%")</f>
        <v>Scenario: Base   |   WACC 8.4%   |   Terminal growth 2.5%</v>
      </c>
    </row>
    <row r="4" customFormat="false" ht="15" hidden="false" customHeight="false" outlineLevel="0" collapsed="false">
      <c r="A4" s="11" t="s">
        <v>161</v>
      </c>
      <c r="B4" s="12" t="s">
        <v>162</v>
      </c>
      <c r="C4" s="12" t="s">
        <v>163</v>
      </c>
      <c r="D4" s="12" t="s">
        <v>164</v>
      </c>
      <c r="E4" s="12" t="s">
        <v>165</v>
      </c>
      <c r="F4" s="12" t="s">
        <v>166</v>
      </c>
      <c r="G4" s="12" t="s">
        <v>137</v>
      </c>
      <c r="H4" s="12" t="s">
        <v>138</v>
      </c>
      <c r="I4" s="12" t="s">
        <v>139</v>
      </c>
      <c r="J4" s="12" t="s">
        <v>140</v>
      </c>
      <c r="K4" s="12" t="s">
        <v>141</v>
      </c>
    </row>
    <row r="5" customFormat="false" ht="15" hidden="false" customHeight="false" outlineLevel="0" collapsed="false">
      <c r="A5" s="2" t="s">
        <v>167</v>
      </c>
      <c r="B5" s="27" t="n">
        <v>44651</v>
      </c>
      <c r="C5" s="27" t="n">
        <v>45016</v>
      </c>
      <c r="D5" s="27" t="n">
        <v>45382</v>
      </c>
      <c r="E5" s="27" t="n">
        <v>45747</v>
      </c>
      <c r="F5" s="27" t="n">
        <v>46112</v>
      </c>
      <c r="G5" s="27" t="n">
        <v>46477</v>
      </c>
      <c r="H5" s="27" t="n">
        <v>46843</v>
      </c>
      <c r="I5" s="27" t="n">
        <v>47208</v>
      </c>
      <c r="J5" s="27" t="n">
        <v>47573</v>
      </c>
      <c r="K5" s="27" t="n">
        <v>47938</v>
      </c>
    </row>
    <row r="6" customFormat="false" ht="15" hidden="false" customHeight="false" outlineLevel="0" collapsed="false">
      <c r="A6" s="9" t="s">
        <v>168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customFormat="false" ht="15" hidden="false" customHeight="false" outlineLevel="0" collapsed="false">
      <c r="A7" s="5" t="s">
        <v>169</v>
      </c>
      <c r="C7" s="22" t="n">
        <f aca="false">Historicals!C61/1000</f>
        <v>1288.313</v>
      </c>
      <c r="D7" s="22" t="n">
        <f aca="false">Historicals!D61/1000</f>
        <v>1231.063</v>
      </c>
      <c r="E7" s="22" t="n">
        <f aca="false">Historicals!E61/1000</f>
        <v>1338.467</v>
      </c>
      <c r="F7" s="22" t="n">
        <f aca="false">Historicals!F61/1000</f>
        <v>1414.206</v>
      </c>
      <c r="G7" s="22" t="n">
        <f aca="false">F7*(1+Inputs!G36+Inputs!$B$11)</f>
        <v>1484.9163</v>
      </c>
      <c r="H7" s="22" t="n">
        <f aca="false">G7*(1+Inputs!H36+Inputs!$B$11)</f>
        <v>1559.162115</v>
      </c>
      <c r="I7" s="22" t="n">
        <f aca="false">H7*(1+Inputs!I36+Inputs!$B$11)</f>
        <v>1621.5285996</v>
      </c>
      <c r="J7" s="22" t="n">
        <f aca="false">I7*(1+Inputs!J36+Inputs!$B$11)</f>
        <v>1686.389743584</v>
      </c>
      <c r="K7" s="22" t="n">
        <f aca="false">J7*(1+Inputs!K36+Inputs!$B$11)</f>
        <v>1736.98143589152</v>
      </c>
    </row>
    <row r="8" customFormat="false" ht="15" hidden="false" customHeight="false" outlineLevel="0" collapsed="false">
      <c r="A8" s="5" t="s">
        <v>81</v>
      </c>
      <c r="C8" s="22" t="n">
        <f aca="false">Historicals!C62/1000</f>
        <v>836.432</v>
      </c>
      <c r="D8" s="22" t="n">
        <f aca="false">Historicals!D62/1000</f>
        <v>821.441</v>
      </c>
      <c r="E8" s="22" t="n">
        <f aca="false">Historicals!E62/1000</f>
        <v>882.643</v>
      </c>
      <c r="F8" s="22" t="n">
        <f aca="false">Historicals!F62/1000</f>
        <v>937.551</v>
      </c>
      <c r="G8" s="22" t="n">
        <f aca="false">F8*(1+Inputs!G37+Inputs!$B$11)</f>
        <v>975.05304</v>
      </c>
      <c r="H8" s="22" t="n">
        <f aca="false">G8*(1+Inputs!H37+Inputs!$B$11)</f>
        <v>1014.0551616</v>
      </c>
      <c r="I8" s="22" t="n">
        <f aca="false">H8*(1+Inputs!I37+Inputs!$B$11)</f>
        <v>1049.547092256</v>
      </c>
      <c r="J8" s="22" t="n">
        <f aca="false">I8*(1+Inputs!J37+Inputs!$B$11)</f>
        <v>1081.03350502368</v>
      </c>
      <c r="K8" s="22" t="n">
        <f aca="false">J8*(1+Inputs!K37+Inputs!$B$11)</f>
        <v>1113.46451017439</v>
      </c>
    </row>
    <row r="9" customFormat="false" ht="15" hidden="false" customHeight="false" outlineLevel="0" collapsed="false">
      <c r="A9" s="5" t="s">
        <v>82</v>
      </c>
      <c r="C9" s="22" t="n">
        <f aca="false">Historicals!C63/1000</f>
        <v>728.357</v>
      </c>
      <c r="D9" s="22" t="n">
        <f aca="false">Historicals!D63/1000</f>
        <v>742.987</v>
      </c>
      <c r="E9" s="22" t="n">
        <f aca="false">Historicals!E63/1000</f>
        <v>788.784</v>
      </c>
      <c r="F9" s="22" t="n">
        <f aca="false">Historicals!F63/1000</f>
        <v>858.904</v>
      </c>
      <c r="G9" s="22" t="n">
        <f aca="false">F9*(1+Inputs!G38+Inputs!$B$11)</f>
        <v>910.43824</v>
      </c>
      <c r="H9" s="22" t="n">
        <f aca="false">G9*(1+Inputs!H38+Inputs!$B$11)</f>
        <v>955.960152</v>
      </c>
      <c r="I9" s="22" t="n">
        <f aca="false">H9*(1+Inputs!I38+Inputs!$B$11)</f>
        <v>994.19855808</v>
      </c>
      <c r="J9" s="22" t="n">
        <f aca="false">I9*(1+Inputs!J38+Inputs!$B$11)</f>
        <v>1033.9665004032</v>
      </c>
      <c r="K9" s="22" t="n">
        <f aca="false">J9*(1+Inputs!K38+Inputs!$B$11)</f>
        <v>1064.9854954153</v>
      </c>
    </row>
    <row r="10" customFormat="false" ht="15" hidden="false" customHeight="false" outlineLevel="0" collapsed="false">
      <c r="A10" s="5" t="s">
        <v>83</v>
      </c>
      <c r="C10" s="22" t="n">
        <f aca="false">Historicals!C64/1000</f>
        <v>677.923</v>
      </c>
      <c r="D10" s="22" t="n">
        <f aca="false">Historicals!D64/1000</f>
        <v>609.361</v>
      </c>
      <c r="E10" s="22" t="n">
        <f aca="false">Historicals!E64/1000</f>
        <v>626</v>
      </c>
      <c r="F10" s="22" t="n">
        <f aca="false">Historicals!F64/1000</f>
        <v>689.04</v>
      </c>
      <c r="G10" s="22" t="n">
        <f aca="false">F10*(1+Inputs!G39+Inputs!$B$11)</f>
        <v>737.2728</v>
      </c>
      <c r="H10" s="22" t="n">
        <f aca="false">G10*(1+Inputs!H39+Inputs!$B$11)</f>
        <v>781.509168</v>
      </c>
      <c r="I10" s="22" t="n">
        <f aca="false">H10*(1+Inputs!I39+Inputs!$B$11)</f>
        <v>820.5846264</v>
      </c>
      <c r="J10" s="22" t="n">
        <f aca="false">I10*(1+Inputs!J39+Inputs!$B$11)</f>
        <v>853.408011456</v>
      </c>
      <c r="K10" s="22" t="n">
        <f aca="false">J10*(1+Inputs!K39+Inputs!$B$11)</f>
        <v>879.01025179968</v>
      </c>
    </row>
    <row r="11" customFormat="false" ht="15" hidden="false" customHeight="false" outlineLevel="0" collapsed="false">
      <c r="A11" s="5" t="s">
        <v>84</v>
      </c>
      <c r="C11" s="22" t="n">
        <f aca="false">Historicals!C65/1000</f>
        <v>378.688</v>
      </c>
      <c r="D11" s="22" t="n">
        <f aca="false">Historicals!D65/1000</f>
        <v>325.225</v>
      </c>
      <c r="E11" s="22" t="n">
        <f aca="false">Historicals!E65/1000</f>
        <v>315.52</v>
      </c>
      <c r="F11" s="22" t="n">
        <f aca="false">Historicals!F65/1000</f>
        <v>326.172</v>
      </c>
      <c r="G11" s="22" t="n">
        <f aca="false">F11*(1+Inputs!G40+Inputs!$B$11)</f>
        <v>335.95716</v>
      </c>
      <c r="H11" s="22" t="n">
        <f aca="false">G11*(1+Inputs!H40+Inputs!$B$11)</f>
        <v>346.0358748</v>
      </c>
      <c r="I11" s="22" t="n">
        <f aca="false">H11*(1+Inputs!I40+Inputs!$B$11)</f>
        <v>356.416951044</v>
      </c>
      <c r="J11" s="22" t="n">
        <f aca="false">I11*(1+Inputs!J40+Inputs!$B$11)</f>
        <v>365.3273748201</v>
      </c>
      <c r="K11" s="22" t="n">
        <f aca="false">J11*(1+Inputs!K40+Inputs!$B$11)</f>
        <v>374.460559190602</v>
      </c>
    </row>
    <row r="12" customFormat="false" ht="15" hidden="false" customHeight="false" outlineLevel="0" collapsed="false">
      <c r="A12" s="5" t="s">
        <v>85</v>
      </c>
      <c r="C12" s="22" t="n">
        <f aca="false">Historicals!C66/1000</f>
        <v>254.374</v>
      </c>
      <c r="D12" s="22" t="n">
        <f aca="false">Historicals!D66/1000</f>
        <v>254.06</v>
      </c>
      <c r="E12" s="22" t="n">
        <f aca="false">Historicals!E66/1000</f>
        <v>299.54</v>
      </c>
      <c r="F12" s="22" t="n">
        <f aca="false">Historicals!F66/1000</f>
        <v>336.189</v>
      </c>
      <c r="G12" s="22" t="n">
        <f aca="false">F12*(1+Inputs!G41+Inputs!$B$11)</f>
        <v>363.08412</v>
      </c>
      <c r="H12" s="22" t="n">
        <f aca="false">G12*(1+Inputs!H41+Inputs!$B$11)</f>
        <v>384.8691672</v>
      </c>
      <c r="I12" s="22" t="n">
        <f aca="false">H12*(1+Inputs!I41+Inputs!$B$11)</f>
        <v>404.11262556</v>
      </c>
      <c r="J12" s="22" t="n">
        <f aca="false">I12*(1+Inputs!J41+Inputs!$B$11)</f>
        <v>420.2771305824</v>
      </c>
      <c r="K12" s="22" t="n">
        <f aca="false">J12*(1+Inputs!K41+Inputs!$B$11)</f>
        <v>432.885444499872</v>
      </c>
    </row>
    <row r="13" customFormat="false" ht="15" hidden="false" customHeight="false" outlineLevel="0" collapsed="false">
      <c r="A13" s="5" t="s">
        <v>86</v>
      </c>
      <c r="C13" s="22" t="n">
        <f aca="false">Historicals!C67/1000</f>
        <v>176.576</v>
      </c>
      <c r="D13" s="22" t="n">
        <f aca="false">Historicals!D67/1000</f>
        <v>168.478</v>
      </c>
      <c r="E13" s="22" t="n">
        <f aca="false">Historicals!E67/1000</f>
        <v>179.71</v>
      </c>
      <c r="F13" s="22" t="n">
        <f aca="false">Historicals!F67/1000</f>
        <v>179.825</v>
      </c>
      <c r="G13" s="22" t="n">
        <f aca="false">F13*(1+Inputs!G42+Inputs!$B$11)</f>
        <v>183.4215</v>
      </c>
      <c r="H13" s="22" t="n">
        <f aca="false">G13*(1+Inputs!H42+Inputs!$B$11)</f>
        <v>187.08993</v>
      </c>
      <c r="I13" s="22" t="n">
        <f aca="false">H13*(1+Inputs!I42+Inputs!$B$11)</f>
        <v>190.8317286</v>
      </c>
      <c r="J13" s="22" t="n">
        <f aca="false">I13*(1+Inputs!J42+Inputs!$B$11)</f>
        <v>194.648363172</v>
      </c>
      <c r="K13" s="22" t="n">
        <f aca="false">J13*(1+Inputs!K42+Inputs!$B$11)</f>
        <v>198.54133043544</v>
      </c>
    </row>
    <row r="14" customFormat="false" ht="15" hidden="false" customHeight="false" outlineLevel="0" collapsed="false">
      <c r="A14" s="5" t="s">
        <v>170</v>
      </c>
      <c r="C14" s="22" t="n">
        <f aca="false">Historicals!C68/1000</f>
        <v>198.155</v>
      </c>
      <c r="D14" s="22" t="n">
        <f aca="false">Historicals!D68/1000</f>
        <v>145.852</v>
      </c>
      <c r="E14" s="22" t="n">
        <f aca="false">Historicals!E68/1000</f>
        <v>124.236</v>
      </c>
      <c r="F14" s="22" t="n">
        <f aca="false">Historicals!F68/1000</f>
        <v>98.874</v>
      </c>
      <c r="G14" s="22" t="n">
        <f aca="false">F14*(1+Inputs!G43+Inputs!$B$11)</f>
        <v>88.9866</v>
      </c>
      <c r="H14" s="22" t="n">
        <f aca="false">G14*(1+Inputs!H43+Inputs!$B$11)</f>
        <v>84.53727</v>
      </c>
      <c r="I14" s="22" t="n">
        <f aca="false">H14*(1+Inputs!I43+Inputs!$B$11)</f>
        <v>84.53727</v>
      </c>
      <c r="J14" s="22" t="n">
        <f aca="false">I14*(1+Inputs!J43+Inputs!$B$11)</f>
        <v>84.53727</v>
      </c>
      <c r="K14" s="22" t="n">
        <f aca="false">J14*(1+Inputs!K43+Inputs!$B$11)</f>
        <v>84.53727</v>
      </c>
    </row>
    <row r="15" customFormat="false" ht="15" hidden="false" customHeight="false" outlineLevel="0" collapsed="false">
      <c r="A15" s="3" t="s">
        <v>171</v>
      </c>
      <c r="B15" s="8" t="n">
        <f aca="false">Historicals!B7/1000</f>
        <v>5481.101</v>
      </c>
      <c r="C15" s="8" t="n">
        <f aca="false">Historicals!C7/1000</f>
        <v>4538.818</v>
      </c>
      <c r="D15" s="8" t="n">
        <f aca="false">Historicals!D7/1000</f>
        <v>4298.467</v>
      </c>
      <c r="E15" s="8" t="n">
        <f aca="false">Historicals!E7/1000</f>
        <v>4554.9</v>
      </c>
      <c r="F15" s="8" t="n">
        <f aca="false">Historicals!F7/1000</f>
        <v>4840.761</v>
      </c>
      <c r="G15" s="8" t="n">
        <f aca="false">SUM(G7:G14)</f>
        <v>5079.12976</v>
      </c>
      <c r="H15" s="8" t="n">
        <f aca="false">SUM(H7:H14)</f>
        <v>5313.2188386</v>
      </c>
      <c r="I15" s="8" t="n">
        <f aca="false">SUM(I7:I14)</f>
        <v>5521.75745154</v>
      </c>
      <c r="J15" s="8" t="n">
        <f aca="false">SUM(J7:J14)</f>
        <v>5719.58789904138</v>
      </c>
      <c r="K15" s="8" t="n">
        <f aca="false">SUM(K7:K14)</f>
        <v>5884.8662974068</v>
      </c>
    </row>
    <row r="16" customFormat="false" ht="15" hidden="false" customHeight="false" outlineLevel="0" collapsed="false">
      <c r="A16" s="5" t="s">
        <v>172</v>
      </c>
      <c r="C16" s="28" t="n">
        <f aca="false">C15/B15-1</f>
        <v>-0.171914912715529</v>
      </c>
      <c r="D16" s="28" t="n">
        <f aca="false">D15/C15-1</f>
        <v>-0.0529545357403625</v>
      </c>
      <c r="E16" s="28" t="n">
        <f aca="false">E15/D15-1</f>
        <v>0.0596568497559711</v>
      </c>
      <c r="F16" s="28" t="n">
        <f aca="false">F15/E15-1</f>
        <v>0.0627590067839032</v>
      </c>
      <c r="G16" s="28" t="n">
        <f aca="false">G15/F15-1</f>
        <v>0.0492420014125876</v>
      </c>
      <c r="H16" s="28" t="n">
        <f aca="false">H15/G15-1</f>
        <v>0.0460884225568594</v>
      </c>
      <c r="I16" s="28" t="n">
        <f aca="false">I15/H15-1</f>
        <v>0.0392490163260335</v>
      </c>
      <c r="J16" s="28" t="n">
        <f aca="false">J15/I15-1</f>
        <v>0.0358274424832272</v>
      </c>
      <c r="K16" s="28" t="n">
        <f aca="false">K15/J15-1</f>
        <v>0.0288969067846867</v>
      </c>
    </row>
    <row r="17" customFormat="false" ht="15" hidden="false" customHeight="false" outlineLevel="0" collapsed="false">
      <c r="A17" s="9" t="s">
        <v>173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customFormat="false" ht="15" hidden="false" customHeight="false" outlineLevel="0" collapsed="false">
      <c r="A18" s="3" t="s">
        <v>174</v>
      </c>
      <c r="B18" s="8" t="n">
        <f aca="false">Historicals!B10/1000</f>
        <v>2263.006</v>
      </c>
      <c r="C18" s="8" t="n">
        <f aca="false">Historicals!C10/1000</f>
        <v>1719.515</v>
      </c>
      <c r="D18" s="8" t="n">
        <f aca="false">Historicals!D10/1000</f>
        <v>1778.021</v>
      </c>
      <c r="E18" s="8" t="n">
        <f aca="false">Historicals!E10/1000</f>
        <v>1962.601</v>
      </c>
      <c r="F18" s="8" t="n">
        <f aca="false">Historicals!F10/1000</f>
        <v>2091.337</v>
      </c>
      <c r="G18" s="8" t="n">
        <f aca="false">G15*(Inputs!G44+Inputs!$B$12)</f>
        <v>2194.18405632</v>
      </c>
      <c r="H18" s="8" t="n">
        <f aca="false">H15*(Inputs!H44+Inputs!$B$12)</f>
        <v>2300.6237571138</v>
      </c>
      <c r="I18" s="8" t="n">
        <f aca="false">I15*(Inputs!I44+Inputs!$B$12)</f>
        <v>2396.44273396836</v>
      </c>
      <c r="J18" s="8" t="n">
        <f aca="false">J15*(Inputs!J44+Inputs!$B$12)</f>
        <v>2482.30114818396</v>
      </c>
      <c r="K18" s="8" t="n">
        <f aca="false">K15*(Inputs!K44+Inputs!$B$12)</f>
        <v>2554.03197307455</v>
      </c>
    </row>
    <row r="19" customFormat="false" ht="15" hidden="false" customHeight="false" outlineLevel="0" collapsed="false">
      <c r="A19" s="5" t="s">
        <v>175</v>
      </c>
      <c r="B19" s="28" t="n">
        <f aca="false">B18/B15</f>
        <v>0.412874347690364</v>
      </c>
      <c r="C19" s="28" t="n">
        <f aca="false">C18/C15</f>
        <v>0.378846430943034</v>
      </c>
      <c r="D19" s="28" t="n">
        <f aca="false">D18/D15</f>
        <v>0.413640723541672</v>
      </c>
      <c r="E19" s="28" t="n">
        <f aca="false">E18/E15</f>
        <v>0.430876857889306</v>
      </c>
      <c r="F19" s="28" t="n">
        <f aca="false">F18/F15</f>
        <v>0.432026493355074</v>
      </c>
      <c r="G19" s="28" t="n">
        <f aca="false">G18/G15</f>
        <v>0.432</v>
      </c>
      <c r="H19" s="28" t="n">
        <f aca="false">H18/H15</f>
        <v>0.433</v>
      </c>
      <c r="I19" s="28" t="n">
        <f aca="false">I18/I15</f>
        <v>0.434</v>
      </c>
      <c r="J19" s="28" t="n">
        <f aca="false">J18/J15</f>
        <v>0.434</v>
      </c>
      <c r="K19" s="28" t="n">
        <f aca="false">K18/K15</f>
        <v>0.434</v>
      </c>
    </row>
    <row r="20" customFormat="false" ht="15" hidden="false" customHeight="false" outlineLevel="0" collapsed="false">
      <c r="A20" s="5" t="s">
        <v>176</v>
      </c>
      <c r="B20" s="22" t="n">
        <f aca="false">-Historicals!B11/1000</f>
        <v>-1025.899</v>
      </c>
      <c r="C20" s="22" t="n">
        <f aca="false">-Historicals!C11/1000</f>
        <v>-809.182</v>
      </c>
      <c r="D20" s="22" t="n">
        <f aca="false">-Historicals!D11/1000</f>
        <v>-730.31</v>
      </c>
      <c r="E20" s="22" t="n">
        <f aca="false">-Historicals!E11/1000</f>
        <v>-814.414</v>
      </c>
      <c r="F20" s="22" t="n">
        <f aca="false">-Historicals!F11/1000</f>
        <v>-816.604</v>
      </c>
      <c r="G20" s="22" t="n">
        <f aca="false">-G15*Inputs!G45</f>
        <v>-853.29379968</v>
      </c>
      <c r="H20" s="22" t="n">
        <f aca="false">-H15*Inputs!H45</f>
        <v>-887.3075460462</v>
      </c>
      <c r="I20" s="22" t="n">
        <f aca="false">-I15*Inputs!I45</f>
        <v>-916.61173695564</v>
      </c>
      <c r="J20" s="22" t="n">
        <f aca="false">-J15*Inputs!J45</f>
        <v>-943.732003341828</v>
      </c>
      <c r="K20" s="22" t="n">
        <f aca="false">-K15*Inputs!K45</f>
        <v>-971.002939072122</v>
      </c>
    </row>
    <row r="21" customFormat="false" ht="15" hidden="false" customHeight="false" outlineLevel="0" collapsed="false">
      <c r="A21" s="5" t="s">
        <v>177</v>
      </c>
      <c r="B21" s="22" t="n">
        <f aca="false">-Historicals!B12/1000</f>
        <v>-291.844</v>
      </c>
      <c r="C21" s="22" t="n">
        <f aca="false">-Historicals!C12/1000</f>
        <v>-280.796</v>
      </c>
      <c r="D21" s="22" t="n">
        <f aca="false">-Historicals!D12/1000</f>
        <v>-287.243</v>
      </c>
      <c r="E21" s="22" t="n">
        <f aca="false">-Historicals!E12/1000</f>
        <v>-309.008</v>
      </c>
      <c r="F21" s="22" t="n">
        <f aca="false">-Historicals!F12/1000</f>
        <v>-316.221</v>
      </c>
      <c r="G21" s="22" t="n">
        <f aca="false">-G15*Inputs!G46</f>
        <v>-330.1434344</v>
      </c>
      <c r="H21" s="22" t="n">
        <f aca="false">-H15*Inputs!H46</f>
        <v>-345.359224509</v>
      </c>
      <c r="I21" s="22" t="n">
        <f aca="false">-I15*Inputs!I46</f>
        <v>-358.9142343501</v>
      </c>
      <c r="J21" s="22" t="n">
        <f aca="false">-J15*Inputs!J46</f>
        <v>-371.77321343769</v>
      </c>
      <c r="K21" s="22" t="n">
        <f aca="false">-K15*Inputs!K46</f>
        <v>-382.516309331442</v>
      </c>
    </row>
    <row r="22" customFormat="false" ht="15" hidden="false" customHeight="false" outlineLevel="0" collapsed="false">
      <c r="A22" s="5" t="s">
        <v>178</v>
      </c>
      <c r="B22" s="22" t="n">
        <f aca="false">-Historicals!B13/1000</f>
        <v>-148.648</v>
      </c>
      <c r="C22" s="22" t="n">
        <f aca="false">-Historicals!C13/1000</f>
        <v>-124.652</v>
      </c>
      <c r="D22" s="22" t="n">
        <f aca="false">-Historicals!D13/1000</f>
        <v>-155.056</v>
      </c>
      <c r="E22" s="22" t="n">
        <f aca="false">-Historicals!E13/1000</f>
        <v>-164.014</v>
      </c>
      <c r="F22" s="22" t="n">
        <f aca="false">-Historicals!F13/1000</f>
        <v>-167.16</v>
      </c>
      <c r="G22" s="22" t="n">
        <f aca="false">-G15*Inputs!G47</f>
        <v>-172.69041184</v>
      </c>
      <c r="H22" s="22" t="n">
        <f aca="false">-H15*Inputs!H47</f>
        <v>-180.6494405124</v>
      </c>
      <c r="I22" s="22" t="n">
        <f aca="false">-I15*Inputs!I47</f>
        <v>-187.73975335236</v>
      </c>
      <c r="J22" s="22" t="n">
        <f aca="false">-J15*Inputs!J47</f>
        <v>-194.465988567407</v>
      </c>
      <c r="K22" s="22" t="n">
        <f aca="false">-K15*Inputs!K47</f>
        <v>-200.085454111831</v>
      </c>
    </row>
    <row r="23" customFormat="false" ht="15" hidden="false" customHeight="false" outlineLevel="0" collapsed="false">
      <c r="A23" s="5" t="s">
        <v>179</v>
      </c>
      <c r="B23" s="22" t="n">
        <f aca="false">-(Historicals!B14+Historicals!B15+Historicals!B16+Historicals!B17)/1000</f>
        <v>-22.603</v>
      </c>
      <c r="C23" s="22" t="n">
        <f aca="false">-(Historicals!C14+Historicals!C15+Historicals!C16+Historicals!C17)/1000</f>
        <v>-46.416</v>
      </c>
      <c r="D23" s="22" t="n">
        <f aca="false">-(Historicals!D14+Historicals!D15+Historicals!D16+Historicals!D17)/1000</f>
        <v>-18.076</v>
      </c>
      <c r="E23" s="22" t="n">
        <f aca="false">-(Historicals!E14+Historicals!E15+Historicals!E16+Historicals!E17)/1000</f>
        <v>-20.31</v>
      </c>
      <c r="F23" s="22" t="n">
        <f aca="false">-(Historicals!F14+Historicals!F15+Historicals!F16+Historicals!F17)/1000</f>
        <v>-16.158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</row>
    <row r="24" customFormat="false" ht="15" hidden="false" customHeight="false" outlineLevel="0" collapsed="false">
      <c r="A24" s="3" t="s">
        <v>180</v>
      </c>
      <c r="B24" s="8" t="n">
        <f aca="false">SUM(B18,B20:B23)</f>
        <v>774.012</v>
      </c>
      <c r="C24" s="8" t="n">
        <f aca="false">SUM(C18,C20:C23)</f>
        <v>458.469</v>
      </c>
      <c r="D24" s="8" t="n">
        <f aca="false">SUM(D18,D20:D23)</f>
        <v>587.336</v>
      </c>
      <c r="E24" s="8" t="n">
        <f aca="false">SUM(E18,E20:E23)</f>
        <v>654.855</v>
      </c>
      <c r="F24" s="8" t="n">
        <f aca="false">SUM(F18,F20:F23)</f>
        <v>775.194</v>
      </c>
      <c r="G24" s="8" t="n">
        <f aca="false">SUM(G18,G20:G23)</f>
        <v>838.0564104</v>
      </c>
      <c r="H24" s="8" t="n">
        <f aca="false">SUM(H18,H20:H23)</f>
        <v>887.3075460462</v>
      </c>
      <c r="I24" s="8" t="n">
        <f aca="false">SUM(I18,I20:I23)</f>
        <v>933.17700931026</v>
      </c>
      <c r="J24" s="8" t="n">
        <f aca="false">SUM(J18,J20:J23)</f>
        <v>972.329942837035</v>
      </c>
      <c r="K24" s="8" t="n">
        <f aca="false">SUM(K18,K20:K23)</f>
        <v>1000.42727055916</v>
      </c>
    </row>
    <row r="25" customFormat="false" ht="15" hidden="false" customHeight="false" outlineLevel="0" collapsed="false">
      <c r="A25" s="5" t="s">
        <v>181</v>
      </c>
      <c r="B25" s="28" t="n">
        <f aca="false">B24/B15</f>
        <v>0.141214693909125</v>
      </c>
      <c r="C25" s="28" t="n">
        <f aca="false">C24/C15</f>
        <v>0.101010659603447</v>
      </c>
      <c r="D25" s="28" t="n">
        <f aca="false">D24/D15</f>
        <v>0.136638480649031</v>
      </c>
      <c r="E25" s="28" t="n">
        <f aca="false">E24/E15</f>
        <v>0.143769347296318</v>
      </c>
      <c r="F25" s="28" t="n">
        <f aca="false">F24/F15</f>
        <v>0.160138870727144</v>
      </c>
      <c r="G25" s="28" t="n">
        <f aca="false">G24/G15</f>
        <v>0.165</v>
      </c>
      <c r="H25" s="28" t="n">
        <f aca="false">H24/H15</f>
        <v>0.167</v>
      </c>
      <c r="I25" s="28" t="n">
        <f aca="false">I24/I15</f>
        <v>0.169</v>
      </c>
      <c r="J25" s="28" t="n">
        <f aca="false">J24/J15</f>
        <v>0.17</v>
      </c>
      <c r="K25" s="28" t="n">
        <f aca="false">K24/K15</f>
        <v>0.17</v>
      </c>
    </row>
    <row r="26" customFormat="false" ht="15" hidden="false" customHeight="false" outlineLevel="0" collapsed="false">
      <c r="A26" s="5" t="s">
        <v>72</v>
      </c>
      <c r="B26" s="22" t="n">
        <f aca="false">Historicals!B52/1000</f>
        <v>88.361</v>
      </c>
      <c r="C26" s="22" t="n">
        <f aca="false">Historicals!C52/1000</f>
        <v>76.309</v>
      </c>
      <c r="D26" s="22" t="n">
        <f aca="false">Historicals!D52/1000</f>
        <v>63.065</v>
      </c>
      <c r="E26" s="22" t="n">
        <f aca="false">Historicals!E52/1000</f>
        <v>59.664</v>
      </c>
      <c r="F26" s="22" t="n">
        <f aca="false">Historicals!F52/1000</f>
        <v>64.139</v>
      </c>
      <c r="G26" s="22" t="n">
        <f aca="false">G15*Inputs!G49</f>
        <v>66.02868688</v>
      </c>
      <c r="H26" s="22" t="n">
        <f aca="false">H15*Inputs!H49</f>
        <v>69.0718449018</v>
      </c>
      <c r="I26" s="22" t="n">
        <f aca="false">I15*Inputs!I49</f>
        <v>71.78284687002</v>
      </c>
      <c r="J26" s="22" t="n">
        <f aca="false">J15*Inputs!J49</f>
        <v>74.354642687538</v>
      </c>
      <c r="K26" s="22" t="n">
        <f aca="false">K15*Inputs!K49</f>
        <v>76.5032618662884</v>
      </c>
    </row>
    <row r="27" customFormat="false" ht="15" hidden="false" customHeight="false" outlineLevel="0" collapsed="false">
      <c r="A27" s="5" t="s">
        <v>182</v>
      </c>
      <c r="B27" s="22" t="n">
        <f aca="false">Historicals!B53/1000</f>
        <v>30.179</v>
      </c>
      <c r="C27" s="22" t="n">
        <f aca="false">Historicals!C53/1000</f>
        <v>24.407</v>
      </c>
      <c r="D27" s="22" t="n">
        <f aca="false">Historicals!D53/1000</f>
        <v>21.681</v>
      </c>
      <c r="E27" s="22" t="n">
        <f aca="false">Historicals!E53/1000</f>
        <v>20.098</v>
      </c>
      <c r="F27" s="22" t="n">
        <f aca="false">Historicals!F53/1000</f>
        <v>13.315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</row>
    <row r="28" customFormat="false" ht="15" hidden="false" customHeight="false" outlineLevel="0" collapsed="false">
      <c r="A28" s="3" t="s">
        <v>183</v>
      </c>
      <c r="B28" s="8" t="n">
        <f aca="false">B24+B26+B27</f>
        <v>892.552</v>
      </c>
      <c r="C28" s="8" t="n">
        <f aca="false">C24+C26+C27</f>
        <v>559.185</v>
      </c>
      <c r="D28" s="8" t="n">
        <f aca="false">D24+D26+D27</f>
        <v>672.082</v>
      </c>
      <c r="E28" s="8" t="n">
        <f aca="false">E24+E26+E27</f>
        <v>734.617</v>
      </c>
      <c r="F28" s="8" t="n">
        <f aca="false">F24+F26+F27</f>
        <v>852.648</v>
      </c>
      <c r="G28" s="8" t="n">
        <f aca="false">G24+G26+G27</f>
        <v>904.08509728</v>
      </c>
      <c r="H28" s="8" t="n">
        <f aca="false">H24+H26+H27</f>
        <v>956.379390948</v>
      </c>
      <c r="I28" s="8" t="n">
        <f aca="false">I24+I26+I27</f>
        <v>1004.95985618028</v>
      </c>
      <c r="J28" s="8" t="n">
        <f aca="false">J24+J26+J27</f>
        <v>1046.68458552457</v>
      </c>
      <c r="K28" s="8" t="n">
        <f aca="false">K24+K26+K27</f>
        <v>1076.93053242544</v>
      </c>
    </row>
    <row r="30" customFormat="false" ht="15" hidden="false" customHeight="false" outlineLevel="0" collapsed="false">
      <c r="A30" s="9" t="s">
        <v>184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 customFormat="false" ht="15" hidden="false" customHeight="false" outlineLevel="0" collapsed="false">
      <c r="A31" s="5" t="s">
        <v>185</v>
      </c>
      <c r="G31" s="22" t="n">
        <f aca="false">-G24*Inputs!G48</f>
        <v>-125.70846156</v>
      </c>
      <c r="H31" s="22" t="n">
        <f aca="false">-H24*Inputs!H48</f>
        <v>-133.09613190693</v>
      </c>
      <c r="I31" s="22" t="n">
        <f aca="false">-I24*Inputs!I48</f>
        <v>-139.976551396539</v>
      </c>
      <c r="J31" s="22" t="n">
        <f aca="false">-J24*Inputs!J48</f>
        <v>-145.849491425555</v>
      </c>
      <c r="K31" s="22" t="n">
        <f aca="false">-K24*Inputs!K48</f>
        <v>-150.064090583873</v>
      </c>
    </row>
    <row r="32" customFormat="false" ht="15" hidden="false" customHeight="false" outlineLevel="0" collapsed="false">
      <c r="A32" s="3" t="s">
        <v>186</v>
      </c>
      <c r="G32" s="8" t="n">
        <f aca="false">G24+G31</f>
        <v>712.34794884</v>
      </c>
      <c r="H32" s="8" t="n">
        <f aca="false">H24+H31</f>
        <v>754.21141413927</v>
      </c>
      <c r="I32" s="8" t="n">
        <f aca="false">I24+I31</f>
        <v>793.200457913721</v>
      </c>
      <c r="J32" s="8" t="n">
        <f aca="false">J24+J31</f>
        <v>826.480451411479</v>
      </c>
      <c r="K32" s="8" t="n">
        <f aca="false">K24+K31</f>
        <v>850.363179975283</v>
      </c>
    </row>
    <row r="33" customFormat="false" ht="15" hidden="false" customHeight="false" outlineLevel="0" collapsed="false">
      <c r="A33" s="5" t="s">
        <v>187</v>
      </c>
      <c r="G33" s="22" t="n">
        <f aca="false">G26+G27</f>
        <v>66.02868688</v>
      </c>
      <c r="H33" s="22" t="n">
        <f aca="false">H26+H27</f>
        <v>69.0718449018</v>
      </c>
      <c r="I33" s="22" t="n">
        <f aca="false">I26+I27</f>
        <v>71.78284687002</v>
      </c>
      <c r="J33" s="22" t="n">
        <f aca="false">J26+J27</f>
        <v>74.354642687538</v>
      </c>
      <c r="K33" s="22" t="n">
        <f aca="false">K26+K27</f>
        <v>76.5032618662884</v>
      </c>
    </row>
    <row r="34" customFormat="false" ht="15" hidden="false" customHeight="false" outlineLevel="0" collapsed="false">
      <c r="A34" s="5" t="s">
        <v>188</v>
      </c>
      <c r="G34" s="22" t="n">
        <f aca="false">-G15*Inputs!G50</f>
        <v>-66.02868688</v>
      </c>
      <c r="H34" s="22" t="n">
        <f aca="false">-H15*Inputs!H50</f>
        <v>-69.0718449018</v>
      </c>
      <c r="I34" s="22" t="n">
        <f aca="false">-I15*Inputs!I50</f>
        <v>-71.78284687002</v>
      </c>
      <c r="J34" s="22" t="n">
        <f aca="false">-J15*Inputs!J50</f>
        <v>-74.354642687538</v>
      </c>
      <c r="K34" s="22" t="n">
        <f aca="false">-K15*Inputs!K50</f>
        <v>-76.5032618662884</v>
      </c>
    </row>
    <row r="35" customFormat="false" ht="15" hidden="false" customHeight="false" outlineLevel="0" collapsed="false">
      <c r="A35" s="5" t="s">
        <v>189</v>
      </c>
      <c r="G35" s="22" t="n">
        <f aca="false">-(G15-F15)*Inputs!G51</f>
        <v>-11.918438</v>
      </c>
      <c r="H35" s="22" t="n">
        <f aca="false">-(H15-G15)*Inputs!H51</f>
        <v>-11.70445393</v>
      </c>
      <c r="I35" s="22" t="n">
        <f aca="false">-(I15-H15)*Inputs!I51</f>
        <v>-10.426930647</v>
      </c>
      <c r="J35" s="22" t="n">
        <f aca="false">-(J15-I15)*Inputs!J51</f>
        <v>-9.89152237506901</v>
      </c>
      <c r="K35" s="22" t="n">
        <f aca="false">-(K15-J15)*Inputs!K51</f>
        <v>-8.26391991827104</v>
      </c>
    </row>
    <row r="36" customFormat="false" ht="15" hidden="false" customHeight="false" outlineLevel="0" collapsed="false">
      <c r="A36" s="3" t="s">
        <v>190</v>
      </c>
      <c r="G36" s="8" t="n">
        <f aca="false">SUM(G32:G35)</f>
        <v>700.42951084</v>
      </c>
      <c r="H36" s="8" t="n">
        <f aca="false">SUM(H32:H35)</f>
        <v>742.50696020927</v>
      </c>
      <c r="I36" s="8" t="n">
        <f aca="false">SUM(I32:I35)</f>
        <v>782.773527266721</v>
      </c>
      <c r="J36" s="8" t="n">
        <f aca="false">SUM(J32:J35)</f>
        <v>816.58892903641</v>
      </c>
      <c r="K36" s="8" t="n">
        <f aca="false">SUM(K32:K35)</f>
        <v>842.099260057012</v>
      </c>
    </row>
    <row r="37" customFormat="false" ht="15" hidden="false" customHeight="false" outlineLevel="0" collapsed="false">
      <c r="A37" s="5" t="s">
        <v>191</v>
      </c>
      <c r="G37" s="28" t="n">
        <f aca="false">G36/G15</f>
        <v>0.137903448806553</v>
      </c>
      <c r="H37" s="28" t="n">
        <f aca="false">H36/H15</f>
        <v>0.139747106747238</v>
      </c>
      <c r="I37" s="28" t="n">
        <f aca="false">I36/I15</f>
        <v>0.141761664494772</v>
      </c>
      <c r="J37" s="28" t="n">
        <f aca="false">J36/J15</f>
        <v>0.142770588274948</v>
      </c>
      <c r="K37" s="28" t="n">
        <f aca="false">K36/K15</f>
        <v>0.143095733615577</v>
      </c>
    </row>
    <row r="38" customFormat="false" ht="15" hidden="false" customHeight="false" outlineLevel="0" collapsed="false">
      <c r="A38" s="2" t="s">
        <v>192</v>
      </c>
      <c r="B38" s="29" t="n">
        <f aca="false">(Historicals!B55-Historicals!B56)/1000</f>
        <v>209.166</v>
      </c>
      <c r="C38" s="29" t="n">
        <f aca="false">(Historicals!C55-Historicals!C56)/1000</f>
        <v>441.657</v>
      </c>
      <c r="D38" s="29" t="n">
        <f aca="false">(Historicals!D55-Historicals!D56)/1000</f>
        <v>1089.219</v>
      </c>
      <c r="E38" s="29" t="n">
        <f aca="false">(Historicals!E55-Historicals!E56)/1000</f>
        <v>786.429</v>
      </c>
      <c r="F38" s="29" t="n">
        <f aca="false">(Historicals!F55-Historicals!F56)/1000</f>
        <v>975.645</v>
      </c>
    </row>
    <row r="39" customFormat="false" ht="15" hidden="false" customHeight="false" outlineLevel="0" collapsed="false">
      <c r="A39" s="9" t="s">
        <v>193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 customFormat="false" ht="15" hidden="false" customHeight="false" outlineLevel="0" collapsed="false">
      <c r="A40" s="5" t="s">
        <v>194</v>
      </c>
      <c r="G40" s="21" t="n">
        <f aca="false">MIN(1,(G5-Inputs!$B$14)/365)</f>
        <v>0.452054794520548</v>
      </c>
      <c r="H40" s="21" t="n">
        <f aca="false">MIN(1,(H5-Inputs!$B$14)/365)</f>
        <v>1</v>
      </c>
      <c r="I40" s="21" t="n">
        <f aca="false">MIN(1,(I5-Inputs!$B$14)/365)</f>
        <v>1</v>
      </c>
      <c r="J40" s="21" t="n">
        <f aca="false">MIN(1,(J5-Inputs!$B$14)/365)</f>
        <v>1</v>
      </c>
      <c r="K40" s="21" t="n">
        <f aca="false">MIN(1,(K5-Inputs!$B$14)/365)</f>
        <v>1</v>
      </c>
    </row>
    <row r="41" customFormat="false" ht="15" hidden="false" customHeight="false" outlineLevel="0" collapsed="false">
      <c r="A41" s="5" t="s">
        <v>195</v>
      </c>
      <c r="G41" s="21" t="n">
        <f aca="false">G40/2</f>
        <v>0.226027397260274</v>
      </c>
      <c r="H41" s="21" t="n">
        <f aca="false">SUM($G$40:G40)+H40/2</f>
        <v>0.952054794520548</v>
      </c>
      <c r="I41" s="21" t="n">
        <f aca="false">SUM($G$40:H40)+I40/2</f>
        <v>1.95205479452055</v>
      </c>
      <c r="J41" s="21" t="n">
        <f aca="false">SUM($G$40:I40)+J40/2</f>
        <v>2.95205479452055</v>
      </c>
      <c r="K41" s="21" t="n">
        <f aca="false">SUM($G$40:J40)+K40/2</f>
        <v>3.95205479452055</v>
      </c>
    </row>
    <row r="42" customFormat="false" ht="15" hidden="false" customHeight="false" outlineLevel="0" collapsed="false">
      <c r="A42" s="5" t="s">
        <v>196</v>
      </c>
      <c r="G42" s="30" t="n">
        <f aca="false">1/(1+Inputs!$B$29)^G41</f>
        <v>0.982008312203087</v>
      </c>
      <c r="H42" s="30" t="n">
        <f aca="false">1/(1+Inputs!$B$29)^H41</f>
        <v>0.926377747963455</v>
      </c>
      <c r="I42" s="30" t="n">
        <f aca="false">1/(1+Inputs!$B$29)^I41</f>
        <v>0.854877108891438</v>
      </c>
      <c r="J42" s="30" t="n">
        <f aca="false">1/(1+Inputs!$B$29)^J41</f>
        <v>0.78889510560158</v>
      </c>
      <c r="K42" s="30" t="n">
        <f aca="false">1/(1+Inputs!$B$29)^K41</f>
        <v>0.728005793077286</v>
      </c>
    </row>
    <row r="43" customFormat="false" ht="15" hidden="false" customHeight="false" outlineLevel="0" collapsed="false">
      <c r="A43" s="5" t="s">
        <v>197</v>
      </c>
      <c r="G43" s="22" t="n">
        <f aca="false">G36*G40</f>
        <v>316.632518598904</v>
      </c>
      <c r="H43" s="22" t="n">
        <f aca="false">H36*H40</f>
        <v>742.50696020927</v>
      </c>
      <c r="I43" s="22" t="n">
        <f aca="false">I36*I40</f>
        <v>782.773527266721</v>
      </c>
      <c r="J43" s="22" t="n">
        <f aca="false">J36*J40</f>
        <v>816.58892903641</v>
      </c>
      <c r="K43" s="22" t="n">
        <f aca="false">K36*K40</f>
        <v>842.099260057012</v>
      </c>
    </row>
    <row r="44" customFormat="false" ht="15" hidden="false" customHeight="false" outlineLevel="0" collapsed="false">
      <c r="A44" s="3" t="s">
        <v>198</v>
      </c>
      <c r="G44" s="8" t="n">
        <f aca="false">G43*G42</f>
        <v>310.935765177922</v>
      </c>
      <c r="H44" s="8" t="n">
        <f aca="false">H43*H42</f>
        <v>687.841925645854</v>
      </c>
      <c r="I44" s="8" t="n">
        <f aca="false">I43*I42</f>
        <v>669.175169906528</v>
      </c>
      <c r="J44" s="8" t="n">
        <f aca="false">J43*J42</f>
        <v>644.20300940526</v>
      </c>
      <c r="K44" s="8" t="n">
        <f aca="false">K43*K42</f>
        <v>613.053139667601</v>
      </c>
    </row>
    <row r="46" customFormat="false" ht="15" hidden="false" customHeight="false" outlineLevel="0" collapsed="false">
      <c r="A46" s="9" t="s">
        <v>199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 customFormat="false" ht="15" hidden="false" customHeight="false" outlineLevel="0" collapsed="false">
      <c r="A47" s="5" t="s">
        <v>200</v>
      </c>
      <c r="B47" s="22" t="n">
        <f aca="false">SUM(G44:K44)</f>
        <v>2925.20900980317</v>
      </c>
    </row>
    <row r="48" customFormat="false" ht="15" hidden="false" customHeight="false" outlineLevel="0" collapsed="false">
      <c r="A48" s="5" t="s">
        <v>201</v>
      </c>
      <c r="B48" s="22" t="n">
        <f aca="false">K36</f>
        <v>842.099260057012</v>
      </c>
    </row>
    <row r="49" customFormat="false" ht="15" hidden="false" customHeight="false" outlineLevel="0" collapsed="false">
      <c r="A49" s="5" t="s">
        <v>202</v>
      </c>
      <c r="B49" s="22" t="n">
        <f aca="false">B48*(1+Inputs!B31)/(Inputs!B29-Inputs!B31)</f>
        <v>14719.8809921543</v>
      </c>
    </row>
    <row r="50" customFormat="false" ht="15" hidden="false" customHeight="false" outlineLevel="0" collapsed="false">
      <c r="A50" s="5" t="s">
        <v>203</v>
      </c>
      <c r="B50" s="21" t="n">
        <f aca="false">SUM(G40:K40)</f>
        <v>4.45205479452055</v>
      </c>
    </row>
    <row r="51" customFormat="false" ht="15" hidden="false" customHeight="false" outlineLevel="0" collapsed="false">
      <c r="A51" s="5" t="s">
        <v>204</v>
      </c>
      <c r="B51" s="22" t="n">
        <f aca="false">B49/(1+Inputs!B29)^B50</f>
        <v>10294.3023784956</v>
      </c>
    </row>
    <row r="52" customFormat="false" ht="15" hidden="false" customHeight="false" outlineLevel="0" collapsed="false">
      <c r="A52" s="3" t="s">
        <v>205</v>
      </c>
      <c r="B52" s="8" t="n">
        <f aca="false">B47+B51</f>
        <v>13219.5113882987</v>
      </c>
    </row>
    <row r="53" customFormat="false" ht="15" hidden="false" customHeight="false" outlineLevel="0" collapsed="false">
      <c r="A53" s="5" t="s">
        <v>206</v>
      </c>
      <c r="B53" s="19" t="n">
        <f aca="false">B51/B52</f>
        <v>0.778720338151649</v>
      </c>
    </row>
    <row r="54" customFormat="false" ht="15" hidden="false" customHeight="false" outlineLevel="0" collapsed="false">
      <c r="A54" s="5" t="s">
        <v>207</v>
      </c>
      <c r="B54" s="22" t="n">
        <f aca="false">Inputs!B17</f>
        <v>1741.546</v>
      </c>
    </row>
    <row r="55" customFormat="false" ht="15" hidden="false" customHeight="false" outlineLevel="0" collapsed="false">
      <c r="A55" s="5" t="s">
        <v>208</v>
      </c>
      <c r="B55" s="22" t="n">
        <f aca="false">-Inputs!B18</f>
        <v>-0</v>
      </c>
    </row>
    <row r="56" customFormat="false" ht="15" hidden="false" customHeight="false" outlineLevel="0" collapsed="false">
      <c r="A56" s="3" t="s">
        <v>209</v>
      </c>
      <c r="B56" s="8" t="n">
        <f aca="false">SUM(B52,B54,B55)</f>
        <v>14961.0573882987</v>
      </c>
    </row>
    <row r="57" customFormat="false" ht="15" hidden="false" customHeight="false" outlineLevel="0" collapsed="false">
      <c r="A57" s="5" t="s">
        <v>108</v>
      </c>
      <c r="B57" s="21" t="n">
        <f aca="false">Inputs!B16</f>
        <v>143.502</v>
      </c>
    </row>
    <row r="58" customFormat="false" ht="15" hidden="false" customHeight="false" outlineLevel="0" collapsed="false">
      <c r="A58" s="3" t="s">
        <v>210</v>
      </c>
      <c r="B58" s="4" t="n">
        <f aca="false">B56/B57</f>
        <v>104.256786583453</v>
      </c>
    </row>
    <row r="59" customFormat="false" ht="15" hidden="false" customHeight="false" outlineLevel="0" collapsed="false">
      <c r="A59" s="5" t="s">
        <v>211</v>
      </c>
      <c r="B59" s="13" t="n">
        <f aca="false">Inputs!B15</f>
        <v>104.41</v>
      </c>
    </row>
    <row r="60" customFormat="false" ht="15" hidden="false" customHeight="false" outlineLevel="0" collapsed="false">
      <c r="A60" s="5" t="s">
        <v>212</v>
      </c>
      <c r="B60" s="19" t="n">
        <f aca="false">B58/B59-1</f>
        <v>-0.00146742090361685</v>
      </c>
    </row>
    <row r="61" customFormat="false" ht="15" hidden="false" customHeight="false" outlineLevel="0" collapsed="false">
      <c r="A61" s="5" t="s">
        <v>213</v>
      </c>
      <c r="B61" s="31" t="n">
        <f aca="false">B52/F28</f>
        <v>15.5040666116601</v>
      </c>
    </row>
    <row r="62" customFormat="false" ht="15" hidden="false" customHeight="false" outlineLevel="0" collapsed="false">
      <c r="A62" s="5" t="s">
        <v>214</v>
      </c>
      <c r="B62" s="31" t="n">
        <f aca="false">B52/G28</f>
        <v>14.6219768781396</v>
      </c>
    </row>
    <row r="64" customFormat="false" ht="15" hidden="false" customHeight="false" outlineLevel="0" collapsed="false">
      <c r="A64" s="9" t="s">
        <v>215</v>
      </c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 customFormat="false" ht="15" hidden="false" customHeight="false" outlineLevel="0" collapsed="false">
      <c r="A65" s="5" t="s">
        <v>216</v>
      </c>
      <c r="B65" s="22" t="n">
        <f aca="false">K28</f>
        <v>1076.93053242544</v>
      </c>
    </row>
    <row r="66" customFormat="false" ht="15" hidden="false" customHeight="false" outlineLevel="0" collapsed="false">
      <c r="A66" s="5" t="s">
        <v>217</v>
      </c>
      <c r="B66" s="22" t="n">
        <f aca="false">B65*Inputs!B32</f>
        <v>15077.0274539562</v>
      </c>
    </row>
    <row r="67" customFormat="false" ht="15" hidden="false" customHeight="false" outlineLevel="0" collapsed="false">
      <c r="A67" s="5" t="s">
        <v>204</v>
      </c>
      <c r="B67" s="22" t="n">
        <f aca="false">B66/(1+Inputs!B29)^B50</f>
        <v>10544.0716309208</v>
      </c>
    </row>
    <row r="68" customFormat="false" ht="15" hidden="false" customHeight="false" outlineLevel="0" collapsed="false">
      <c r="A68" s="3" t="s">
        <v>205</v>
      </c>
      <c r="B68" s="8" t="n">
        <f aca="false">B47+B67</f>
        <v>13469.280640724</v>
      </c>
    </row>
    <row r="69" customFormat="false" ht="15" hidden="false" customHeight="false" outlineLevel="0" collapsed="false">
      <c r="A69" s="5" t="s">
        <v>209</v>
      </c>
      <c r="B69" s="22" t="n">
        <f aca="false">B68+B54+B55</f>
        <v>15210.826640724</v>
      </c>
    </row>
    <row r="70" customFormat="false" ht="15" hidden="false" customHeight="false" outlineLevel="0" collapsed="false">
      <c r="A70" s="3" t="s">
        <v>210</v>
      </c>
      <c r="B70" s="4" t="n">
        <f aca="false">B69/B57</f>
        <v>105.997314606932</v>
      </c>
    </row>
    <row r="71" customFormat="false" ht="15" hidden="false" customHeight="false" outlineLevel="0" collapsed="false">
      <c r="A71" s="5" t="s">
        <v>212</v>
      </c>
      <c r="B71" s="19" t="n">
        <f aca="false">B70/B59-1</f>
        <v>0.01520270670369</v>
      </c>
    </row>
    <row r="72" customFormat="false" ht="15" hidden="false" customHeight="false" outlineLevel="0" collapsed="false">
      <c r="A72" s="5" t="s">
        <v>218</v>
      </c>
      <c r="B72" s="19" t="n">
        <f aca="false">(B66*Inputs!B29-B48)/(B66+B48)</f>
        <v>0.0263155578931311</v>
      </c>
    </row>
    <row r="73" customFormat="false" ht="15" hidden="false" customHeight="false" outlineLevel="0" collapsed="false">
      <c r="A73" s="5" t="s">
        <v>219</v>
      </c>
      <c r="B73" s="31" t="n">
        <f aca="false">B49/K28</f>
        <v>13.6683662956443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220</v>
      </c>
    </row>
    <row r="2" customFormat="false" ht="15" hidden="false" customHeight="false" outlineLevel="0" collapsed="false">
      <c r="A2" s="2" t="s">
        <v>221</v>
      </c>
    </row>
    <row r="4" customFormat="false" ht="15" hidden="false" customHeight="false" outlineLevel="0" collapsed="false">
      <c r="A4" s="3" t="s">
        <v>222</v>
      </c>
    </row>
    <row r="5" customFormat="false" ht="15" hidden="false" customHeight="false" outlineLevel="0" collapsed="false">
      <c r="A5" s="32" t="s">
        <v>223</v>
      </c>
      <c r="B5" s="33" t="n">
        <f aca="false">Inputs!$B$31+(-0.01)</f>
        <v>0.015</v>
      </c>
      <c r="C5" s="33" t="n">
        <f aca="false">Inputs!$B$31+(-0.005)</f>
        <v>0.02</v>
      </c>
      <c r="D5" s="33" t="n">
        <f aca="false">Inputs!$B$31+(0)</f>
        <v>0.025</v>
      </c>
      <c r="E5" s="33" t="n">
        <f aca="false">Inputs!$B$31+(0.005)</f>
        <v>0.03</v>
      </c>
      <c r="F5" s="33" t="n">
        <f aca="false">Inputs!$B$31+(0.01)</f>
        <v>0.035</v>
      </c>
    </row>
    <row r="6" customFormat="false" ht="15" hidden="false" customHeight="false" outlineLevel="0" collapsed="false">
      <c r="A6" s="33" t="n">
        <f aca="false">Inputs!$B$29+(-0.01)</f>
        <v>0.0736385</v>
      </c>
      <c r="B6" s="13" t="n">
        <f aca="false">(SUMPRODUCT(DCF!$G$43:$K$43/(1+$A6)^DCF!$G$41:$K$41)+DCF!$K$36*(1+B$5)/($A6-B$5)/(1+$A6)^DCF!$B$50+Inputs!$B$17-Inputs!$B$18)/Inputs!$B$16</f>
        <v>106.966493355493</v>
      </c>
      <c r="C6" s="13" t="n">
        <f aca="false">(SUMPRODUCT(DCF!$G$43:$K$43/(1+$A6)^DCF!$G$41:$K$41)+DCF!$K$36*(1+C$5)/($A6-C$5)/(1+$A6)^DCF!$B$50+Inputs!$B$17-Inputs!$B$18)/Inputs!$B$16</f>
        <v>114.265976131818</v>
      </c>
      <c r="D6" s="13" t="n">
        <f aca="false">(SUMPRODUCT(DCF!$G$43:$K$43/(1+$A6)^DCF!$G$41:$K$41)+DCF!$K$36*(1+D$5)/($A6-D$5)/(1+$A6)^DCF!$B$50+Inputs!$B$17-Inputs!$B$18)/Inputs!$B$16</f>
        <v>123.066221221193</v>
      </c>
      <c r="E6" s="13" t="n">
        <f aca="false">(SUMPRODUCT(DCF!$G$43:$K$43/(1+$A6)^DCF!$G$41:$K$41)+DCF!$K$36*(1+E$5)/($A6-E$5)/(1+$A6)^DCF!$B$50+Inputs!$B$17-Inputs!$B$18)/Inputs!$B$16</f>
        <v>133.883090412994</v>
      </c>
      <c r="F6" s="13" t="n">
        <f aca="false">(SUMPRODUCT(DCF!$G$43:$K$43/(1+$A6)^DCF!$G$41:$K$41)+DCF!$K$36*(1+F$5)/($A6-F$5)/(1+$A6)^DCF!$B$50+Inputs!$B$17-Inputs!$B$18)/Inputs!$B$16</f>
        <v>147.499465070019</v>
      </c>
    </row>
    <row r="7" customFormat="false" ht="15" hidden="false" customHeight="false" outlineLevel="0" collapsed="false">
      <c r="A7" s="33" t="n">
        <f aca="false">Inputs!$B$29+(-0.005)</f>
        <v>0.0786385</v>
      </c>
      <c r="B7" s="13" t="n">
        <f aca="false">(SUMPRODUCT(DCF!$G$43:$K$43/(1+$A7)^DCF!$G$41:$K$41)+DCF!$K$36*(1+B$5)/($A7-B$5)/(1+$A7)^DCF!$B$50+Inputs!$B$17-Inputs!$B$18)/Inputs!$B$16</f>
        <v>99.5435614265845</v>
      </c>
      <c r="C7" s="13" t="n">
        <f aca="false">(SUMPRODUCT(DCF!$G$43:$K$43/(1+$A7)^DCF!$G$41:$K$41)+DCF!$K$36*(1+C$5)/($A7-C$5)/(1+$A7)^DCF!$B$50+Inputs!$B$17-Inputs!$B$18)/Inputs!$B$16</f>
        <v>105.598128301461</v>
      </c>
      <c r="D7" s="13" t="n">
        <f aca="false">(SUMPRODUCT(DCF!$G$43:$K$43/(1+$A7)^DCF!$G$41:$K$41)+DCF!$K$36*(1+D$5)/($A7-D$5)/(1+$A7)^DCF!$B$50+Inputs!$B$17-Inputs!$B$18)/Inputs!$B$16</f>
        <v>112.781467769694</v>
      </c>
      <c r="E7" s="13" t="n">
        <f aca="false">(SUMPRODUCT(DCF!$G$43:$K$43/(1+$A7)^DCF!$G$41:$K$41)+DCF!$K$36*(1+E$5)/($A7-E$5)/(1+$A7)^DCF!$B$50+Inputs!$B$17-Inputs!$B$18)/Inputs!$B$16</f>
        <v>121.441690667357</v>
      </c>
      <c r="F7" s="13" t="n">
        <f aca="false">(SUMPRODUCT(DCF!$G$43:$K$43/(1+$A7)^DCF!$G$41:$K$41)+DCF!$K$36*(1+F$5)/($A7-F$5)/(1+$A7)^DCF!$B$50+Inputs!$B$17-Inputs!$B$18)/Inputs!$B$16</f>
        <v>132.086450819431</v>
      </c>
    </row>
    <row r="8" customFormat="false" ht="15" hidden="false" customHeight="false" outlineLevel="0" collapsed="false">
      <c r="A8" s="33" t="n">
        <f aca="false">Inputs!$B$29+(0)</f>
        <v>0.0836385</v>
      </c>
      <c r="B8" s="13" t="n">
        <f aca="false">(SUMPRODUCT(DCF!$G$43:$K$43/(1+$A8)^DCF!$G$41:$K$41)+DCF!$K$36*(1+B$5)/($A8-B$5)/(1+$A8)^DCF!$B$50+Inputs!$B$17-Inputs!$B$18)/Inputs!$B$16</f>
        <v>93.2075634528862</v>
      </c>
      <c r="C8" s="13" t="n">
        <f aca="false">(SUMPRODUCT(DCF!$G$43:$K$43/(1+$A8)^DCF!$G$41:$K$41)+DCF!$K$36*(1+C$5)/($A8-C$5)/(1+$A8)^DCF!$B$50+Inputs!$B$17-Inputs!$B$18)/Inputs!$B$16</f>
        <v>98.2981129672663</v>
      </c>
      <c r="D8" s="34" t="n">
        <f aca="false">(SUMPRODUCT(DCF!$G$43:$K$43/(1+$A8)^DCF!$G$41:$K$41)+DCF!$K$36*(1+D$5)/($A8-D$5)/(1+$A8)^DCF!$B$50+Inputs!$B$17-Inputs!$B$18)/Inputs!$B$16</f>
        <v>104.256786583453</v>
      </c>
      <c r="E8" s="13" t="n">
        <f aca="false">(SUMPRODUCT(DCF!$G$43:$K$43/(1+$A8)^DCF!$G$41:$K$41)+DCF!$K$36*(1+E$5)/($A8-E$5)/(1+$A8)^DCF!$B$50+Inputs!$B$17-Inputs!$B$18)/Inputs!$B$16</f>
        <v>111.326355100912</v>
      </c>
      <c r="F8" s="13" t="n">
        <f aca="false">(SUMPRODUCT(DCF!$G$43:$K$43/(1+$A8)^DCF!$G$41:$K$41)+DCF!$K$36*(1+F$5)/($A8-F$5)/(1+$A8)^DCF!$B$50+Inputs!$B$17-Inputs!$B$18)/Inputs!$B$16</f>
        <v>119.849415917159</v>
      </c>
    </row>
    <row r="9" customFormat="false" ht="15" hidden="false" customHeight="false" outlineLevel="0" collapsed="false">
      <c r="A9" s="33" t="n">
        <f aca="false">Inputs!$B$29+(0.005)</f>
        <v>0.0886385</v>
      </c>
      <c r="B9" s="13" t="n">
        <f aca="false">(SUMPRODUCT(DCF!$G$43:$K$43/(1+$A9)^DCF!$G$41:$K$41)+DCF!$K$36*(1+B$5)/($A9-B$5)/(1+$A9)^DCF!$B$50+Inputs!$B$17-Inputs!$B$18)/Inputs!$B$16</f>
        <v>87.7368847018509</v>
      </c>
      <c r="C9" s="13" t="n">
        <f aca="false">(SUMPRODUCT(DCF!$G$43:$K$43/(1+$A9)^DCF!$G$41:$K$41)+DCF!$K$36*(1+C$5)/($A9-C$5)/(1+$A9)^DCF!$B$50+Inputs!$B$17-Inputs!$B$18)/Inputs!$B$16</f>
        <v>92.0667870569644</v>
      </c>
      <c r="D9" s="13" t="n">
        <f aca="false">(SUMPRODUCT(DCF!$G$43:$K$43/(1+$A9)^DCF!$G$41:$K$41)+DCF!$K$36*(1+D$5)/($A9-D$5)/(1+$A9)^DCF!$B$50+Inputs!$B$17-Inputs!$B$18)/Inputs!$B$16</f>
        <v>97.0770797976328</v>
      </c>
      <c r="E9" s="13" t="n">
        <f aca="false">(SUMPRODUCT(DCF!$G$43:$K$43/(1+$A9)^DCF!$G$41:$K$41)+DCF!$K$36*(1+E$5)/($A9-E$5)/(1+$A9)^DCF!$B$50+Inputs!$B$17-Inputs!$B$18)/Inputs!$B$16</f>
        <v>102.941809937053</v>
      </c>
      <c r="F9" s="13" t="n">
        <f aca="false">(SUMPRODUCT(DCF!$G$43:$K$43/(1+$A9)^DCF!$G$41:$K$41)+DCF!$K$36*(1+F$5)/($A9-F$5)/(1+$A9)^DCF!$B$50+Inputs!$B$17-Inputs!$B$18)/Inputs!$B$16</f>
        <v>109.899920789844</v>
      </c>
    </row>
    <row r="10" customFormat="false" ht="15" hidden="false" customHeight="false" outlineLevel="0" collapsed="false">
      <c r="A10" s="33" t="n">
        <f aca="false">Inputs!$B$29+(0.01)</f>
        <v>0.0936385</v>
      </c>
      <c r="B10" s="13" t="n">
        <f aca="false">(SUMPRODUCT(DCF!$G$43:$K$43/(1+$A10)^DCF!$G$41:$K$41)+DCF!$K$36*(1+B$5)/($A10-B$5)/(1+$A10)^DCF!$B$50+Inputs!$B$17-Inputs!$B$18)/Inputs!$B$16</f>
        <v>82.9662813473787</v>
      </c>
      <c r="C10" s="13" t="n">
        <f aca="false">(SUMPRODUCT(DCF!$G$43:$K$43/(1+$A10)^DCF!$G$41:$K$41)+DCF!$K$36*(1+C$5)/($A10-C$5)/(1+$A10)^DCF!$B$50+Inputs!$B$17-Inputs!$B$18)/Inputs!$B$16</f>
        <v>86.6862623907611</v>
      </c>
      <c r="D10" s="13" t="n">
        <f aca="false">(SUMPRODUCT(DCF!$G$43:$K$43/(1+$A10)^DCF!$G$41:$K$41)+DCF!$K$36*(1+D$5)/($A10-D$5)/(1+$A10)^DCF!$B$50+Inputs!$B$17-Inputs!$B$18)/Inputs!$B$16</f>
        <v>90.9482105580438</v>
      </c>
      <c r="E10" s="13" t="n">
        <f aca="false">(SUMPRODUCT(DCF!$G$43:$K$43/(1+$A10)^DCF!$G$41:$K$41)+DCF!$K$36*(1+E$5)/($A10-E$5)/(1+$A10)^DCF!$B$50+Inputs!$B$17-Inputs!$B$18)/Inputs!$B$16</f>
        <v>95.8798709541318</v>
      </c>
      <c r="F10" s="13" t="n">
        <f aca="false">(SUMPRODUCT(DCF!$G$43:$K$43/(1+$A10)^DCF!$G$41:$K$41)+DCF!$K$36*(1+F$5)/($A10-F$5)/(1+$A10)^DCF!$B$50+Inputs!$B$17-Inputs!$B$18)/Inputs!$B$16</f>
        <v>101.652559070248</v>
      </c>
    </row>
    <row r="13" customFormat="false" ht="15" hidden="false" customHeight="false" outlineLevel="0" collapsed="false">
      <c r="A13" s="3" t="s">
        <v>224</v>
      </c>
    </row>
    <row r="14" customFormat="false" ht="15" hidden="false" customHeight="false" outlineLevel="0" collapsed="false">
      <c r="A14" s="32" t="s">
        <v>225</v>
      </c>
      <c r="B14" s="35" t="n">
        <f aca="false">Inputs!$B$32+(-2)</f>
        <v>12</v>
      </c>
      <c r="C14" s="35" t="n">
        <f aca="false">Inputs!$B$32+(-1)</f>
        <v>13</v>
      </c>
      <c r="D14" s="35" t="n">
        <f aca="false">Inputs!$B$32+(0)</f>
        <v>14</v>
      </c>
      <c r="E14" s="35" t="n">
        <f aca="false">Inputs!$B$32+(1)</f>
        <v>15</v>
      </c>
      <c r="F14" s="35" t="n">
        <f aca="false">Inputs!$B$32+(2)</f>
        <v>16</v>
      </c>
    </row>
    <row r="15" customFormat="false" ht="15" hidden="false" customHeight="false" outlineLevel="0" collapsed="false">
      <c r="A15" s="33" t="n">
        <f aca="false">Inputs!$B$29+(-0.01)</f>
        <v>0.0736385</v>
      </c>
      <c r="B15" s="13" t="n">
        <f aca="false">(SUMPRODUCT(DCF!$G$43:$K$43/(1+$A15)^DCF!$G$41:$K$41)+DCF!$K$28*B$14/(1+$A15)^DCF!$B$50+Inputs!$B$17-Inputs!$B$18)/Inputs!$B$16</f>
        <v>98.5707162091346</v>
      </c>
      <c r="C15" s="13" t="n">
        <f aca="false">(SUMPRODUCT(DCF!$G$43:$K$43/(1+$A15)^DCF!$G$41:$K$41)+DCF!$K$28*C$14/(1+$A15)^DCF!$B$50+Inputs!$B$17-Inputs!$B$18)/Inputs!$B$16</f>
        <v>104.040219500864</v>
      </c>
      <c r="D15" s="13" t="n">
        <f aca="false">(SUMPRODUCT(DCF!$G$43:$K$43/(1+$A15)^DCF!$G$41:$K$41)+DCF!$K$28*D$14/(1+$A15)^DCF!$B$50+Inputs!$B$17-Inputs!$B$18)/Inputs!$B$16</f>
        <v>109.509722792593</v>
      </c>
      <c r="E15" s="13" t="n">
        <f aca="false">(SUMPRODUCT(DCF!$G$43:$K$43/(1+$A15)^DCF!$G$41:$K$41)+DCF!$K$28*E$14/(1+$A15)^DCF!$B$50+Inputs!$B$17-Inputs!$B$18)/Inputs!$B$16</f>
        <v>114.979226084323</v>
      </c>
      <c r="F15" s="13" t="n">
        <f aca="false">(SUMPRODUCT(DCF!$G$43:$K$43/(1+$A15)^DCF!$G$41:$K$41)+DCF!$K$28*F$14/(1+$A15)^DCF!$B$50+Inputs!$B$17-Inputs!$B$18)/Inputs!$B$16</f>
        <v>120.448729376052</v>
      </c>
    </row>
    <row r="16" customFormat="false" ht="15" hidden="false" customHeight="false" outlineLevel="0" collapsed="false">
      <c r="A16" s="33" t="n">
        <f aca="false">Inputs!$B$29+(-0.005)</f>
        <v>0.0786385</v>
      </c>
      <c r="B16" s="13" t="n">
        <f aca="false">(SUMPRODUCT(DCF!$G$43:$K$43/(1+$A16)^DCF!$G$41:$K$41)+DCF!$K$28*B$14/(1+$A16)^DCF!$B$50+Inputs!$B$17-Inputs!$B$18)/Inputs!$B$16</f>
        <v>97.0170240827632</v>
      </c>
      <c r="C16" s="13" t="n">
        <f aca="false">(SUMPRODUCT(DCF!$G$43:$K$43/(1+$A16)^DCF!$G$41:$K$41)+DCF!$K$28*C$14/(1+$A16)^DCF!$B$50+Inputs!$B$17-Inputs!$B$18)/Inputs!$B$16</f>
        <v>102.374550851218</v>
      </c>
      <c r="D16" s="13" t="n">
        <f aca="false">(SUMPRODUCT(DCF!$G$43:$K$43/(1+$A16)^DCF!$G$41:$K$41)+DCF!$K$28*D$14/(1+$A16)^DCF!$B$50+Inputs!$B$17-Inputs!$B$18)/Inputs!$B$16</f>
        <v>107.732077619673</v>
      </c>
      <c r="E16" s="13" t="n">
        <f aca="false">(SUMPRODUCT(DCF!$G$43:$K$43/(1+$A16)^DCF!$G$41:$K$41)+DCF!$K$28*E$14/(1+$A16)^DCF!$B$50+Inputs!$B$17-Inputs!$B$18)/Inputs!$B$16</f>
        <v>113.089604388128</v>
      </c>
      <c r="F16" s="13" t="n">
        <f aca="false">(SUMPRODUCT(DCF!$G$43:$K$43/(1+$A16)^DCF!$G$41:$K$41)+DCF!$K$28*F$14/(1+$A16)^DCF!$B$50+Inputs!$B$17-Inputs!$B$18)/Inputs!$B$16</f>
        <v>118.447131156582</v>
      </c>
    </row>
    <row r="17" customFormat="false" ht="15" hidden="false" customHeight="false" outlineLevel="0" collapsed="false">
      <c r="A17" s="33" t="n">
        <f aca="false">Inputs!$B$29+(0)</f>
        <v>0.0836385</v>
      </c>
      <c r="B17" s="13" t="n">
        <f aca="false">(SUMPRODUCT(DCF!$G$43:$K$43/(1+$A17)^DCF!$G$41:$K$41)+DCF!$K$28*B$14/(1+$A17)^DCF!$B$50+Inputs!$B$17-Inputs!$B$18)/Inputs!$B$16</f>
        <v>95.5006250327493</v>
      </c>
      <c r="C17" s="13" t="n">
        <f aca="false">(SUMPRODUCT(DCF!$G$43:$K$43/(1+$A17)^DCF!$G$41:$K$41)+DCF!$K$28*C$14/(1+$A17)^DCF!$B$50+Inputs!$B$17-Inputs!$B$18)/Inputs!$B$16</f>
        <v>100.748969819841</v>
      </c>
      <c r="D17" s="34" t="n">
        <f aca="false">(SUMPRODUCT(DCF!$G$43:$K$43/(1+$A17)^DCF!$G$41:$K$41)+DCF!$K$28*D$14/(1+$A17)^DCF!$B$50+Inputs!$B$17-Inputs!$B$18)/Inputs!$B$16</f>
        <v>105.997314606932</v>
      </c>
      <c r="E17" s="13" t="n">
        <f aca="false">(SUMPRODUCT(DCF!$G$43:$K$43/(1+$A17)^DCF!$G$41:$K$41)+DCF!$K$28*E$14/(1+$A17)^DCF!$B$50+Inputs!$B$17-Inputs!$B$18)/Inputs!$B$16</f>
        <v>111.245659394024</v>
      </c>
      <c r="F17" s="13" t="n">
        <f aca="false">(SUMPRODUCT(DCF!$G$43:$K$43/(1+$A17)^DCF!$G$41:$K$41)+DCF!$K$28*F$14/(1+$A17)^DCF!$B$50+Inputs!$B$17-Inputs!$B$18)/Inputs!$B$16</f>
        <v>116.494004181115</v>
      </c>
    </row>
    <row r="18" customFormat="false" ht="15" hidden="false" customHeight="false" outlineLevel="0" collapsed="false">
      <c r="A18" s="33" t="n">
        <f aca="false">Inputs!$B$29+(0.005)</f>
        <v>0.0886385</v>
      </c>
      <c r="B18" s="13" t="n">
        <f aca="false">(SUMPRODUCT(DCF!$G$43:$K$43/(1+$A18)^DCF!$G$41:$K$41)+DCF!$K$28*B$14/(1+$A18)^DCF!$B$50+Inputs!$B$17-Inputs!$B$18)/Inputs!$B$16</f>
        <v>94.0204443630682</v>
      </c>
      <c r="C18" s="13" t="n">
        <f aca="false">(SUMPRODUCT(DCF!$G$43:$K$43/(1+$A18)^DCF!$G$41:$K$41)+DCF!$K$28*C$14/(1+$A18)^DCF!$B$50+Inputs!$B$17-Inputs!$B$18)/Inputs!$B$16</f>
        <v>99.1623195534202</v>
      </c>
      <c r="D18" s="13" t="n">
        <f aca="false">(SUMPRODUCT(DCF!$G$43:$K$43/(1+$A18)^DCF!$G$41:$K$41)+DCF!$K$28*D$14/(1+$A18)^DCF!$B$50+Inputs!$B$17-Inputs!$B$18)/Inputs!$B$16</f>
        <v>104.304194743772</v>
      </c>
      <c r="E18" s="13" t="n">
        <f aca="false">(SUMPRODUCT(DCF!$G$43:$K$43/(1+$A18)^DCF!$G$41:$K$41)+DCF!$K$28*E$14/(1+$A18)^DCF!$B$50+Inputs!$B$17-Inputs!$B$18)/Inputs!$B$16</f>
        <v>109.446069934124</v>
      </c>
      <c r="F18" s="13" t="n">
        <f aca="false">(SUMPRODUCT(DCF!$G$43:$K$43/(1+$A18)^DCF!$G$41:$K$41)+DCF!$K$28*F$14/(1+$A18)^DCF!$B$50+Inputs!$B$17-Inputs!$B$18)/Inputs!$B$16</f>
        <v>114.587945124476</v>
      </c>
    </row>
    <row r="19" customFormat="false" ht="15" hidden="false" customHeight="false" outlineLevel="0" collapsed="false">
      <c r="A19" s="33" t="n">
        <f aca="false">Inputs!$B$29+(0.01)</f>
        <v>0.0936385</v>
      </c>
      <c r="B19" s="13" t="n">
        <f aca="false">(SUMPRODUCT(DCF!$G$43:$K$43/(1+$A19)^DCF!$G$41:$K$41)+DCF!$K$28*B$14/(1+$A19)^DCF!$B$50+Inputs!$B$17-Inputs!$B$18)/Inputs!$B$16</f>
        <v>92.5754432579944</v>
      </c>
      <c r="C19" s="13" t="n">
        <f aca="false">(SUMPRODUCT(DCF!$G$43:$K$43/(1+$A19)^DCF!$G$41:$K$41)+DCF!$K$28*C$14/(1+$A19)^DCF!$B$50+Inputs!$B$17-Inputs!$B$18)/Inputs!$B$16</f>
        <v>97.613481855986</v>
      </c>
      <c r="D19" s="13" t="n">
        <f aca="false">(SUMPRODUCT(DCF!$G$43:$K$43/(1+$A19)^DCF!$G$41:$K$41)+DCF!$K$28*D$14/(1+$A19)^DCF!$B$50+Inputs!$B$17-Inputs!$B$18)/Inputs!$B$16</f>
        <v>102.651520453978</v>
      </c>
      <c r="E19" s="13" t="n">
        <f aca="false">(SUMPRODUCT(DCF!$G$43:$K$43/(1+$A19)^DCF!$G$41:$K$41)+DCF!$K$28*E$14/(1+$A19)^DCF!$B$50+Inputs!$B$17-Inputs!$B$18)/Inputs!$B$16</f>
        <v>107.689559051969</v>
      </c>
      <c r="F19" s="13" t="n">
        <f aca="false">(SUMPRODUCT(DCF!$G$43:$K$43/(1+$A19)^DCF!$G$41:$K$41)+DCF!$K$28*F$14/(1+$A19)^DCF!$B$50+Inputs!$B$17-Inputs!$B$18)/Inputs!$B$16</f>
        <v>112.727597649961</v>
      </c>
    </row>
    <row r="22" customFormat="false" ht="15" hidden="false" customHeight="false" outlineLevel="0" collapsed="false">
      <c r="A22" s="3" t="s">
        <v>226</v>
      </c>
    </row>
    <row r="23" customFormat="false" ht="15" hidden="false" customHeight="false" outlineLevel="0" collapsed="false">
      <c r="A23" s="32" t="s">
        <v>223</v>
      </c>
      <c r="B23" s="33" t="n">
        <f aca="false">B5</f>
        <v>0.015</v>
      </c>
      <c r="C23" s="33" t="n">
        <f aca="false">C5</f>
        <v>0.02</v>
      </c>
      <c r="D23" s="33" t="n">
        <f aca="false">D5</f>
        <v>0.025</v>
      </c>
      <c r="E23" s="33" t="n">
        <f aca="false">E5</f>
        <v>0.03</v>
      </c>
      <c r="F23" s="33" t="n">
        <f aca="false">F5</f>
        <v>0.035</v>
      </c>
    </row>
    <row r="24" customFormat="false" ht="15" hidden="false" customHeight="false" outlineLevel="0" collapsed="false">
      <c r="A24" s="33" t="n">
        <f aca="false">A6</f>
        <v>0.0736385</v>
      </c>
      <c r="B24" s="19" t="n">
        <f aca="false">B6/Inputs!$B$15-1</f>
        <v>0.0244851389281939</v>
      </c>
      <c r="C24" s="19" t="n">
        <f aca="false">C6/Inputs!$B$15-1</f>
        <v>0.0943968598009588</v>
      </c>
      <c r="D24" s="19" t="n">
        <f aca="false">D6/Inputs!$B$15-1</f>
        <v>0.178682321819681</v>
      </c>
      <c r="E24" s="19" t="n">
        <f aca="false">E6/Inputs!$B$15-1</f>
        <v>0.282282256613297</v>
      </c>
      <c r="F24" s="19" t="n">
        <f aca="false">F6/Inputs!$B$15-1</f>
        <v>0.412694809596962</v>
      </c>
    </row>
    <row r="25" customFormat="false" ht="15" hidden="false" customHeight="false" outlineLevel="0" collapsed="false">
      <c r="A25" s="33" t="n">
        <f aca="false">A7</f>
        <v>0.0786385</v>
      </c>
      <c r="B25" s="19" t="n">
        <f aca="false">B7/Inputs!$B$15-1</f>
        <v>-0.0466089318400109</v>
      </c>
      <c r="C25" s="19" t="n">
        <f aca="false">C7/Inputs!$B$15-1</f>
        <v>0.0113794493004575</v>
      </c>
      <c r="D25" s="19" t="n">
        <f aca="false">D7/Inputs!$B$15-1</f>
        <v>0.0801787929287783</v>
      </c>
      <c r="E25" s="19" t="n">
        <f aca="false">E7/Inputs!$B$15-1</f>
        <v>0.163123174670593</v>
      </c>
      <c r="F25" s="19" t="n">
        <f aca="false">F7/Inputs!$B$15-1</f>
        <v>0.265074713336184</v>
      </c>
    </row>
    <row r="26" customFormat="false" ht="15" hidden="false" customHeight="false" outlineLevel="0" collapsed="false">
      <c r="A26" s="33" t="n">
        <f aca="false">A8</f>
        <v>0.0836385</v>
      </c>
      <c r="B26" s="19" t="n">
        <f aca="false">B8/Inputs!$B$15-1</f>
        <v>-0.107292754976667</v>
      </c>
      <c r="C26" s="19" t="n">
        <f aca="false">C8/Inputs!$B$15-1</f>
        <v>-0.0585373722127541</v>
      </c>
      <c r="D26" s="19" t="n">
        <f aca="false">D8/Inputs!$B$15-1</f>
        <v>-0.00146742090361696</v>
      </c>
      <c r="E26" s="19" t="n">
        <f aca="false">E8/Inputs!$B$15-1</f>
        <v>0.0662422670329683</v>
      </c>
      <c r="F26" s="19" t="n">
        <f aca="false">F8/Inputs!$B$15-1</f>
        <v>0.147872961566506</v>
      </c>
    </row>
    <row r="27" customFormat="false" ht="15" hidden="false" customHeight="false" outlineLevel="0" collapsed="false">
      <c r="A27" s="33" t="n">
        <f aca="false">A9</f>
        <v>0.0886385</v>
      </c>
      <c r="B27" s="19" t="n">
        <f aca="false">B9/Inputs!$B$15-1</f>
        <v>-0.159688873653377</v>
      </c>
      <c r="C27" s="19" t="n">
        <f aca="false">C9/Inputs!$B$15-1</f>
        <v>-0.118218685404038</v>
      </c>
      <c r="D27" s="19" t="n">
        <f aca="false">D9/Inputs!$B$15-1</f>
        <v>-0.0702319720560025</v>
      </c>
      <c r="E27" s="19" t="n">
        <f aca="false">E9/Inputs!$B$15-1</f>
        <v>-0.0140617762948704</v>
      </c>
      <c r="F27" s="19" t="n">
        <f aca="false">F9/Inputs!$B$15-1</f>
        <v>0.0525804117406787</v>
      </c>
    </row>
    <row r="28" customFormat="false" ht="15" hidden="false" customHeight="false" outlineLevel="0" collapsed="false">
      <c r="A28" s="33" t="n">
        <f aca="false">A10</f>
        <v>0.0936385</v>
      </c>
      <c r="B28" s="19" t="n">
        <f aca="false">B10/Inputs!$B$15-1</f>
        <v>-0.205379931545076</v>
      </c>
      <c r="C28" s="19" t="n">
        <f aca="false">C10/Inputs!$B$15-1</f>
        <v>-0.169751341913982</v>
      </c>
      <c r="D28" s="19" t="n">
        <f aca="false">D10/Inputs!$B$15-1</f>
        <v>-0.12893199350595</v>
      </c>
      <c r="E28" s="19" t="n">
        <f aca="false">E10/Inputs!$B$15-1</f>
        <v>-0.0816983913980293</v>
      </c>
      <c r="F28" s="19" t="n">
        <f aca="false">F10/Inputs!$B$15-1</f>
        <v>-0.0264097397735081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">
        <v>227</v>
      </c>
    </row>
    <row r="3" customFormat="false" ht="15" hidden="false" customHeight="false" outlineLevel="0" collapsed="false">
      <c r="A3" s="3" t="s">
        <v>228</v>
      </c>
      <c r="B3" s="36" t="str">
        <f aca="false">IF(COUNTIF(G6:G21,"CHECK")=0,"ALL CHECKS PASS",COUNTIF(G6:G21,"CHECK")&amp;" CHECK(S) FAILING")</f>
        <v>ALL CHECKS PASS</v>
      </c>
    </row>
    <row r="5" customFormat="false" ht="15" hidden="false" customHeight="false" outlineLevel="0" collapsed="false">
      <c r="A5" s="11" t="s">
        <v>229</v>
      </c>
      <c r="B5" s="12" t="s">
        <v>23</v>
      </c>
      <c r="C5" s="12" t="s">
        <v>24</v>
      </c>
      <c r="D5" s="12" t="s">
        <v>25</v>
      </c>
      <c r="E5" s="12" t="s">
        <v>26</v>
      </c>
      <c r="F5" s="12" t="s">
        <v>27</v>
      </c>
      <c r="G5" s="12" t="s">
        <v>230</v>
      </c>
    </row>
    <row r="6" customFormat="false" ht="15" hidden="false" customHeight="false" outlineLevel="0" collapsed="false">
      <c r="A6" s="5" t="s">
        <v>231</v>
      </c>
      <c r="B6" s="37" t="n">
        <f aca="false">Historicals!B7-Historicals!B8-Historicals!B9-Historicals!B10</f>
        <v>0</v>
      </c>
      <c r="C6" s="37" t="n">
        <f aca="false">Historicals!C7-Historicals!C8-Historicals!C9-Historicals!C10</f>
        <v>0</v>
      </c>
      <c r="D6" s="37" t="n">
        <f aca="false">Historicals!D7-Historicals!D8-Historicals!D9-Historicals!D10</f>
        <v>0</v>
      </c>
      <c r="E6" s="37" t="n">
        <f aca="false">Historicals!E7-Historicals!E8-Historicals!E9-Historicals!E10</f>
        <v>0</v>
      </c>
      <c r="F6" s="37" t="n">
        <f aca="false">Historicals!F7-Historicals!F8-Historicals!F9-Historicals!F10</f>
        <v>0</v>
      </c>
      <c r="G6" s="3" t="str">
        <f aca="false">IF(MAX(ABS(MIN(B6:F6)),ABS(MAX(B6:F6)))&lt;=1,"OK","CHECK")</f>
        <v>OK</v>
      </c>
    </row>
    <row r="7" customFormat="false" ht="15" hidden="false" customHeight="false" outlineLevel="0" collapsed="false">
      <c r="A7" s="5" t="s">
        <v>232</v>
      </c>
      <c r="B7" s="37" t="n">
        <f aca="false">Historicals!B11+Historicals!B12+Historicals!B13+Historicals!B14+Historicals!B15+Historicals!B16+Historicals!B17-Historicals!B18</f>
        <v>0</v>
      </c>
      <c r="C7" s="37" t="n">
        <f aca="false">Historicals!C11+Historicals!C12+Historicals!C13+Historicals!C14+Historicals!C15+Historicals!C16+Historicals!C17-Historicals!C18</f>
        <v>0</v>
      </c>
      <c r="D7" s="37" t="n">
        <f aca="false">Historicals!D11+Historicals!D12+Historicals!D13+Historicals!D14+Historicals!D15+Historicals!D16+Historicals!D17-Historicals!D18</f>
        <v>0</v>
      </c>
      <c r="E7" s="37" t="n">
        <f aca="false">Historicals!E11+Historicals!E12+Historicals!E13+Historicals!E14+Historicals!E15+Historicals!E16+Historicals!E17-Historicals!E18</f>
        <v>0</v>
      </c>
      <c r="F7" s="37" t="n">
        <f aca="false">Historicals!F11+Historicals!F12+Historicals!F13+Historicals!F14+Historicals!F15+Historicals!F16+Historicals!F17-Historicals!F18</f>
        <v>0</v>
      </c>
      <c r="G7" s="3" t="str">
        <f aca="false">IF(MAX(ABS(MIN(B7:F7)),ABS(MAX(B7:F7)))&lt;=1,"OK","CHECK")</f>
        <v>OK</v>
      </c>
    </row>
    <row r="8" customFormat="false" ht="15" hidden="false" customHeight="false" outlineLevel="0" collapsed="false">
      <c r="A8" s="5" t="s">
        <v>233</v>
      </c>
      <c r="B8" s="37" t="n">
        <f aca="false">Historicals!B10-Historicals!B18-Historicals!B19</f>
        <v>0</v>
      </c>
      <c r="C8" s="37" t="n">
        <f aca="false">Historicals!C10-Historicals!C18-Historicals!C19</f>
        <v>0</v>
      </c>
      <c r="D8" s="37" t="n">
        <f aca="false">Historicals!D10-Historicals!D18-Historicals!D19</f>
        <v>0</v>
      </c>
      <c r="E8" s="37" t="n">
        <f aca="false">Historicals!E10-Historicals!E18-Historicals!E19</f>
        <v>0</v>
      </c>
      <c r="F8" s="37" t="n">
        <f aca="false">Historicals!F10-Historicals!F18-Historicals!F19</f>
        <v>0</v>
      </c>
      <c r="G8" s="3" t="str">
        <f aca="false">IF(MAX(ABS(MIN(B8:F8)),ABS(MAX(B8:F8)))&lt;=1,"OK","CHECK")</f>
        <v>OK</v>
      </c>
    </row>
    <row r="9" customFormat="false" ht="15" hidden="false" customHeight="false" outlineLevel="0" collapsed="false">
      <c r="A9" s="5" t="s">
        <v>234</v>
      </c>
      <c r="B9" s="37" t="n">
        <f aca="false">Historicals!B19+Historicals!B20+Historicals!B21-Historicals!B22</f>
        <v>0</v>
      </c>
      <c r="C9" s="37" t="n">
        <f aca="false">Historicals!C19+Historicals!C20+Historicals!C21-Historicals!C22</f>
        <v>0</v>
      </c>
      <c r="D9" s="37" t="n">
        <f aca="false">Historicals!D19+Historicals!D20+Historicals!D21-Historicals!D22</f>
        <v>0</v>
      </c>
      <c r="E9" s="37" t="n">
        <f aca="false">Historicals!E19+Historicals!E20+Historicals!E21-Historicals!E22</f>
        <v>0</v>
      </c>
      <c r="F9" s="37" t="n">
        <f aca="false">Historicals!F19+Historicals!F20+Historicals!F21-Historicals!F22</f>
        <v>0</v>
      </c>
      <c r="G9" s="3" t="str">
        <f aca="false">IF(MAX(ABS(MIN(B9:F9)),ABS(MAX(B9:F9)))&lt;=1,"OK","CHECK")</f>
        <v>OK</v>
      </c>
    </row>
    <row r="10" customFormat="false" ht="15" hidden="false" customHeight="false" outlineLevel="0" collapsed="false">
      <c r="A10" s="5" t="s">
        <v>235</v>
      </c>
      <c r="B10" s="37" t="n">
        <f aca="false">Historicals!B22-Historicals!B23-Historicals!B24</f>
        <v>0</v>
      </c>
      <c r="C10" s="37" t="n">
        <f aca="false">Historicals!C22-Historicals!C23-Historicals!C24</f>
        <v>0</v>
      </c>
      <c r="D10" s="37" t="n">
        <f aca="false">Historicals!D22-Historicals!D23-Historicals!D24</f>
        <v>0</v>
      </c>
      <c r="E10" s="37" t="n">
        <f aca="false">Historicals!E22-Historicals!E23-Historicals!E24</f>
        <v>0</v>
      </c>
      <c r="F10" s="37" t="n">
        <f aca="false">Historicals!F22-Historicals!F23-Historicals!F24</f>
        <v>0</v>
      </c>
      <c r="G10" s="3" t="str">
        <f aca="false">IF(MAX(ABS(MIN(B10:F10)),ABS(MAX(B10:F10)))&lt;=1,"OK","CHECK")</f>
        <v>OK</v>
      </c>
    </row>
    <row r="11" customFormat="false" ht="15" hidden="false" customHeight="false" outlineLevel="0" collapsed="false">
      <c r="A11" s="5" t="s">
        <v>236</v>
      </c>
      <c r="B11" s="37" t="n">
        <f aca="false">Historicals!B29+Historicals!B30+Historicals!B31+Historicals!B32-Historicals!B33</f>
        <v>0</v>
      </c>
      <c r="C11" s="37" t="n">
        <f aca="false">Historicals!C29+Historicals!C30+Historicals!C31+Historicals!C32-Historicals!C33</f>
        <v>0</v>
      </c>
      <c r="D11" s="37" t="n">
        <f aca="false">Historicals!D29+Historicals!D30+Historicals!D31+Historicals!D32-Historicals!D33</f>
        <v>0</v>
      </c>
      <c r="E11" s="37" t="n">
        <f aca="false">Historicals!E29+Historicals!E30+Historicals!E31+Historicals!E32-Historicals!E33</f>
        <v>0</v>
      </c>
      <c r="F11" s="37" t="n">
        <f aca="false">Historicals!F29+Historicals!F30+Historicals!F31+Historicals!F32-Historicals!F33</f>
        <v>0</v>
      </c>
      <c r="G11" s="3" t="str">
        <f aca="false">IF(MAX(ABS(MIN(B11:F11)),ABS(MAX(B11:F11)))&lt;=1,"OK","CHECK")</f>
        <v>OK</v>
      </c>
    </row>
    <row r="12" customFormat="false" ht="15" hidden="false" customHeight="false" outlineLevel="0" collapsed="false">
      <c r="A12" s="5" t="s">
        <v>237</v>
      </c>
      <c r="B12" s="37" t="n">
        <f aca="false">Historicals!B33+Historicals!B34+Historicals!B35+Historicals!B36+Historicals!B37-Historicals!B38</f>
        <v>0</v>
      </c>
      <c r="C12" s="37" t="n">
        <f aca="false">Historicals!C33+Historicals!C34+Historicals!C35+Historicals!C36+Historicals!C37-Historicals!C38</f>
        <v>0</v>
      </c>
      <c r="D12" s="37" t="n">
        <f aca="false">Historicals!D33+Historicals!D34+Historicals!D35+Historicals!D36+Historicals!D37-Historicals!D38</f>
        <v>0</v>
      </c>
      <c r="E12" s="37" t="n">
        <f aca="false">Historicals!E33+Historicals!E34+Historicals!E35+Historicals!E36+Historicals!E37-Historicals!E38</f>
        <v>0</v>
      </c>
      <c r="F12" s="37" t="n">
        <f aca="false">Historicals!F33+Historicals!F34+Historicals!F35+Historicals!F36+Historicals!F37-Historicals!F38</f>
        <v>0</v>
      </c>
      <c r="G12" s="3" t="str">
        <f aca="false">IF(MAX(ABS(MIN(B12:F12)),ABS(MAX(B12:F12)))&lt;=1,"OK","CHECK")</f>
        <v>OK</v>
      </c>
    </row>
    <row r="13" customFormat="false" ht="15" hidden="false" customHeight="false" outlineLevel="0" collapsed="false">
      <c r="A13" s="5" t="s">
        <v>238</v>
      </c>
      <c r="B13" s="37" t="n">
        <f aca="false">Historicals!B39+Historicals!B40-Historicals!B41</f>
        <v>0</v>
      </c>
      <c r="C13" s="37" t="n">
        <f aca="false">Historicals!C39+Historicals!C40-Historicals!C41</f>
        <v>0</v>
      </c>
      <c r="D13" s="37" t="n">
        <f aca="false">Historicals!D39+Historicals!D40-Historicals!D41</f>
        <v>0</v>
      </c>
      <c r="E13" s="37" t="n">
        <f aca="false">Historicals!E39+Historicals!E40-Historicals!E41</f>
        <v>0</v>
      </c>
      <c r="F13" s="37" t="n">
        <f aca="false">Historicals!F39+Historicals!F40-Historicals!F41</f>
        <v>0</v>
      </c>
      <c r="G13" s="3" t="str">
        <f aca="false">IF(MAX(ABS(MIN(B13:F13)),ABS(MAX(B13:F13)))&lt;=1,"OK","CHECK")</f>
        <v>OK</v>
      </c>
    </row>
    <row r="14" customFormat="false" ht="15" hidden="false" customHeight="false" outlineLevel="0" collapsed="false">
      <c r="A14" s="5" t="s">
        <v>239</v>
      </c>
      <c r="B14" s="37" t="n">
        <f aca="false">Historicals!B41+Historicals!B42+Historicals!B43-Historicals!B44</f>
        <v>0</v>
      </c>
      <c r="C14" s="37" t="n">
        <f aca="false">Historicals!C41+Historicals!C42+Historicals!C43-Historicals!C44</f>
        <v>0</v>
      </c>
      <c r="D14" s="37" t="n">
        <f aca="false">Historicals!D41+Historicals!D42+Historicals!D43-Historicals!D44</f>
        <v>0</v>
      </c>
      <c r="E14" s="37" t="n">
        <f aca="false">Historicals!E41+Historicals!E42+Historicals!E43-Historicals!E44</f>
        <v>0</v>
      </c>
      <c r="F14" s="37" t="n">
        <f aca="false">Historicals!F41+Historicals!F42+Historicals!F43-Historicals!F44</f>
        <v>0</v>
      </c>
      <c r="G14" s="3" t="str">
        <f aca="false">IF(MAX(ABS(MIN(B14:F14)),ABS(MAX(B14:F14)))&lt;=1,"OK","CHECK")</f>
        <v>OK</v>
      </c>
    </row>
    <row r="15" customFormat="false" ht="15" hidden="false" customHeight="false" outlineLevel="0" collapsed="false">
      <c r="A15" s="5" t="s">
        <v>240</v>
      </c>
      <c r="B15" s="37" t="n">
        <f aca="false">Historicals!B38-Historicals!B44-Historicals!B45</f>
        <v>0</v>
      </c>
      <c r="C15" s="37" t="n">
        <f aca="false">Historicals!C38-Historicals!C44-Historicals!C45</f>
        <v>0</v>
      </c>
      <c r="D15" s="37" t="n">
        <f aca="false">Historicals!D38-Historicals!D44-Historicals!D45</f>
        <v>0</v>
      </c>
      <c r="E15" s="37" t="n">
        <f aca="false">Historicals!E38-Historicals!E44-Historicals!E45</f>
        <v>0</v>
      </c>
      <c r="F15" s="37" t="n">
        <f aca="false">Historicals!F38-Historicals!F44-Historicals!F45</f>
        <v>0</v>
      </c>
      <c r="G15" s="3" t="str">
        <f aca="false">IF(MAX(ABS(MIN(B15:F15)),ABS(MAX(B15:F15)))&lt;=1,"OK","CHECK")</f>
        <v>OK</v>
      </c>
    </row>
    <row r="16" customFormat="false" ht="15" hidden="false" customHeight="false" outlineLevel="0" collapsed="false">
      <c r="A16" s="5" t="s">
        <v>241</v>
      </c>
      <c r="B16" s="37" t="n">
        <f aca="false">Historicals!B51-Historicals!B24</f>
        <v>0</v>
      </c>
      <c r="C16" s="37" t="n">
        <f aca="false">Historicals!C51-Historicals!C24</f>
        <v>0</v>
      </c>
      <c r="D16" s="37" t="n">
        <f aca="false">Historicals!D51-Historicals!D24</f>
        <v>0</v>
      </c>
      <c r="E16" s="37" t="n">
        <f aca="false">Historicals!E51-Historicals!E24</f>
        <v>0</v>
      </c>
      <c r="F16" s="37" t="n">
        <f aca="false">Historicals!F51-Historicals!F24</f>
        <v>0</v>
      </c>
      <c r="G16" s="3" t="str">
        <f aca="false">IF(MAX(ABS(MIN(B16:F16)),ABS(MAX(B16:F16)))&lt;=1,"OK","CHECK")</f>
        <v>OK</v>
      </c>
    </row>
    <row r="17" customFormat="false" ht="15" hidden="false" customHeight="false" outlineLevel="0" collapsed="false">
      <c r="A17" s="5" t="s">
        <v>242</v>
      </c>
      <c r="C17" s="37" t="n">
        <f aca="false">Historicals!C61+Historicals!C62+Historicals!C63+Historicals!C64+Historicals!C65+Historicals!C66+Historicals!C67+Historicals!C68-Historicals!C7</f>
        <v>0</v>
      </c>
      <c r="D17" s="37" t="n">
        <f aca="false">Historicals!D61+Historicals!D62+Historicals!D63+Historicals!D64+Historicals!D65+Historicals!D66+Historicals!D67+Historicals!D68-Historicals!D7</f>
        <v>0</v>
      </c>
      <c r="E17" s="37" t="n">
        <f aca="false">Historicals!E61+Historicals!E62+Historicals!E63+Historicals!E64+Historicals!E65+Historicals!E66+Historicals!E67+Historicals!E68-Historicals!E7</f>
        <v>0</v>
      </c>
      <c r="F17" s="37" t="n">
        <f aca="false">Historicals!F61+Historicals!F62+Historicals!F63+Historicals!F64+Historicals!F65+Historicals!F66+Historicals!F67+Historicals!F68-Historicals!F7</f>
        <v>0</v>
      </c>
      <c r="G17" s="3" t="str">
        <f aca="false">IF(MAX(ABS(MIN(C17:F17)),ABS(MAX(C17:F17)))&lt;=1,"OK","CHECK")</f>
        <v>OK</v>
      </c>
    </row>
    <row r="18" customFormat="false" ht="15" hidden="false" customHeight="false" outlineLevel="0" collapsed="false">
      <c r="A18" s="5" t="s">
        <v>243</v>
      </c>
      <c r="B18" s="22" t="n">
        <f aca="false">SUM(DCF!G7:K14)-SUM(DCF!G15:K15)</f>
        <v>0</v>
      </c>
      <c r="G18" s="3" t="str">
        <f aca="false">IF(ABS(B18)&lt;0.001,"OK","CHECK")</f>
        <v>OK</v>
      </c>
    </row>
    <row r="19" customFormat="false" ht="15" hidden="false" customHeight="false" outlineLevel="0" collapsed="false">
      <c r="A19" s="5" t="s">
        <v>244</v>
      </c>
      <c r="B19" s="19" t="n">
        <f aca="false">Inputs!B29-Inputs!B31</f>
        <v>0.0586385</v>
      </c>
      <c r="G19" s="3" t="str">
        <f aca="false">IF(B19&gt;0,"OK","CHECK")</f>
        <v>OK</v>
      </c>
    </row>
    <row r="20" customFormat="false" ht="15" hidden="false" customHeight="false" outlineLevel="0" collapsed="false">
      <c r="A20" s="5" t="s">
        <v>245</v>
      </c>
      <c r="B20" s="30" t="n">
        <f aca="false">Sensitivity!D8-DCF!B58</f>
        <v>0</v>
      </c>
      <c r="G20" s="3" t="str">
        <f aca="false">IF(ABS(B20)&lt;0.001,"OK","CHECK")</f>
        <v>OK</v>
      </c>
    </row>
    <row r="21" customFormat="false" ht="15" hidden="false" customHeight="false" outlineLevel="0" collapsed="false">
      <c r="A21" s="5" t="s">
        <v>246</v>
      </c>
      <c r="B21" s="30" t="n">
        <f aca="false">Sensitivity!D17-DCF!B70</f>
        <v>0</v>
      </c>
      <c r="G21" s="3" t="str">
        <f aca="false">IF(ABS(B21)&lt;0.001,"OK","CHECK")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2026-10-17T14:25:38Z</dcterms:created>
  <dc:creator>openpyxl</dc:creator>
  <dc:description/>
  <dc:language>en-US</dc:language>
  <cp:lastModifiedBy/>
  <dcterms:modified xsi:type="dcterms:W3CDTF">2026-10-17T14:25:38Z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